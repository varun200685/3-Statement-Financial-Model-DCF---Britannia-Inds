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un gowda\Downloads\"/>
    </mc:Choice>
  </mc:AlternateContent>
  <xr:revisionPtr revIDLastSave="0" documentId="8_{B8496651-335F-40B3-9440-31AD71F41AE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fit &amp; Loss" sheetId="1" r:id="rId1"/>
    <sheet name="Balance Sheet" sheetId="2" r:id="rId2"/>
    <sheet name="Cash Flow" sheetId="4" r:id="rId3"/>
    <sheet name="assumption" sheetId="5" r:id="rId4"/>
    <sheet name="Data Sheet" sheetId="6" r:id="rId5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5" l="1"/>
  <c r="B1" i="5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L7" i="2" s="1"/>
  <c r="M7" i="2" s="1"/>
  <c r="N7" i="2" s="1"/>
  <c r="O7" i="2" s="1"/>
  <c r="P7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L11" i="2" s="1"/>
  <c r="M11" i="2" s="1"/>
  <c r="N11" i="2" s="1"/>
  <c r="O11" i="2" s="1"/>
  <c r="P11" i="2" s="1"/>
  <c r="C12" i="2"/>
  <c r="D12" i="2"/>
  <c r="E12" i="2"/>
  <c r="F12" i="2"/>
  <c r="G12" i="2"/>
  <c r="H12" i="2"/>
  <c r="I12" i="2"/>
  <c r="J12" i="2"/>
  <c r="K12" i="2"/>
  <c r="L12" i="2" s="1"/>
  <c r="M12" i="2" s="1"/>
  <c r="N12" i="2" s="1"/>
  <c r="O12" i="2" s="1"/>
  <c r="P12" i="2" s="1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G12" i="1"/>
  <c r="G13" i="1" s="1"/>
  <c r="H12" i="1"/>
  <c r="H13" i="1" s="1"/>
  <c r="I12" i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E1" i="6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10" i="2"/>
  <c r="B8" i="2"/>
  <c r="B7" i="2"/>
  <c r="B6" i="2"/>
  <c r="B3" i="2"/>
  <c r="B12" i="1"/>
  <c r="B11" i="1"/>
  <c r="B10" i="1"/>
  <c r="B9" i="1"/>
  <c r="B8" i="1"/>
  <c r="B3" i="1"/>
  <c r="L18" i="2" l="1"/>
  <c r="L17" i="2"/>
  <c r="L7" i="1"/>
  <c r="M7" i="1" s="1"/>
  <c r="N7" i="1" s="1"/>
  <c r="L8" i="1"/>
  <c r="H23" i="1"/>
  <c r="L6" i="2"/>
  <c r="L9" i="1" s="1"/>
  <c r="H34" i="1"/>
  <c r="H33" i="1"/>
  <c r="L4" i="1"/>
  <c r="C16" i="2"/>
  <c r="D16" i="2"/>
  <c r="F16" i="2"/>
  <c r="H16" i="2"/>
  <c r="K16" i="2"/>
  <c r="B21" i="2"/>
  <c r="J14" i="1"/>
  <c r="K14" i="1"/>
  <c r="G14" i="1"/>
  <c r="E23" i="2"/>
  <c r="C14" i="1"/>
  <c r="E6" i="1"/>
  <c r="E19" i="1" s="1"/>
  <c r="K6" i="1"/>
  <c r="K19" i="1" s="1"/>
  <c r="G20" i="2"/>
  <c r="E21" i="2"/>
  <c r="H21" i="2"/>
  <c r="I6" i="1"/>
  <c r="I19" i="1" s="1"/>
  <c r="F21" i="2"/>
  <c r="I21" i="2"/>
  <c r="D6" i="1"/>
  <c r="D19" i="1" s="1"/>
  <c r="J6" i="1"/>
  <c r="J19" i="1" s="1"/>
  <c r="C21" i="2"/>
  <c r="G21" i="2"/>
  <c r="C6" i="1"/>
  <c r="C19" i="1" s="1"/>
  <c r="G6" i="1"/>
  <c r="G19" i="1" s="1"/>
  <c r="D21" i="2"/>
  <c r="J21" i="2"/>
  <c r="K21" i="2"/>
  <c r="C23" i="2"/>
  <c r="D23" i="2"/>
  <c r="E16" i="2"/>
  <c r="J16" i="2"/>
  <c r="B23" i="2"/>
  <c r="B13" i="1"/>
  <c r="B14" i="1" s="1"/>
  <c r="F23" i="2"/>
  <c r="G23" i="2"/>
  <c r="H23" i="2"/>
  <c r="J23" i="2"/>
  <c r="K23" i="2"/>
  <c r="C20" i="2"/>
  <c r="D20" i="2"/>
  <c r="E20" i="2"/>
  <c r="F14" i="1"/>
  <c r="I13" i="1"/>
  <c r="I14" i="1" s="1"/>
  <c r="I23" i="2"/>
  <c r="G16" i="2"/>
  <c r="I16" i="2"/>
  <c r="C24" i="2"/>
  <c r="D24" i="2"/>
  <c r="E24" i="2"/>
  <c r="F24" i="2"/>
  <c r="G24" i="2"/>
  <c r="H24" i="2"/>
  <c r="I24" i="2"/>
  <c r="J24" i="2"/>
  <c r="K24" i="2"/>
  <c r="B16" i="2"/>
  <c r="F20" i="2"/>
  <c r="H14" i="1"/>
  <c r="B20" i="2"/>
  <c r="D13" i="1"/>
  <c r="B6" i="1"/>
  <c r="B19" i="1" s="1"/>
  <c r="J20" i="2"/>
  <c r="K20" i="2"/>
  <c r="I23" i="1"/>
  <c r="J23" i="1"/>
  <c r="A1" i="2"/>
  <c r="A1" i="4" s="1"/>
  <c r="H1" i="1"/>
  <c r="E1" i="2"/>
  <c r="I20" i="2"/>
  <c r="H20" i="2"/>
  <c r="K23" i="1"/>
  <c r="H6" i="1"/>
  <c r="H19" i="1" s="1"/>
  <c r="F6" i="1"/>
  <c r="F19" i="1" s="1"/>
  <c r="E1" i="4"/>
  <c r="L21" i="2" l="1"/>
  <c r="L5" i="4"/>
  <c r="L20" i="2"/>
  <c r="M18" i="2"/>
  <c r="M17" i="2"/>
  <c r="N17" i="2" s="1"/>
  <c r="O7" i="1"/>
  <c r="P7" i="1" s="1"/>
  <c r="M6" i="2"/>
  <c r="M9" i="1" s="1"/>
  <c r="L6" i="1"/>
  <c r="L19" i="1" s="1"/>
  <c r="M4" i="1"/>
  <c r="J25" i="1"/>
  <c r="J24" i="1"/>
  <c r="K25" i="1"/>
  <c r="K24" i="1"/>
  <c r="I24" i="1"/>
  <c r="D14" i="1"/>
  <c r="E13" i="1"/>
  <c r="E14" i="1" s="1"/>
  <c r="I25" i="1" s="1"/>
  <c r="H24" i="1"/>
  <c r="M21" i="2" l="1"/>
  <c r="M5" i="4"/>
  <c r="M20" i="2"/>
  <c r="N18" i="2"/>
  <c r="O18" i="2" s="1"/>
  <c r="O17" i="2"/>
  <c r="P17" i="2" s="1"/>
  <c r="N6" i="2"/>
  <c r="N9" i="1" s="1"/>
  <c r="L5" i="1"/>
  <c r="N4" i="1"/>
  <c r="M6" i="1"/>
  <c r="M19" i="1" s="1"/>
  <c r="H25" i="1"/>
  <c r="N21" i="2" l="1"/>
  <c r="N5" i="4"/>
  <c r="N20" i="2"/>
  <c r="P18" i="2"/>
  <c r="O6" i="2"/>
  <c r="O9" i="1" s="1"/>
  <c r="M5" i="1"/>
  <c r="N6" i="1"/>
  <c r="N19" i="1" s="1"/>
  <c r="O4" i="1"/>
  <c r="O21" i="2" s="1"/>
  <c r="O5" i="4" l="1"/>
  <c r="O20" i="2"/>
  <c r="P6" i="2"/>
  <c r="P9" i="1" s="1"/>
  <c r="N5" i="1"/>
  <c r="O6" i="1"/>
  <c r="O19" i="1" s="1"/>
  <c r="P4" i="1"/>
  <c r="P21" i="2" s="1"/>
  <c r="P5" i="4" l="1"/>
  <c r="P20" i="2"/>
  <c r="O5" i="1"/>
  <c r="P6" i="1"/>
  <c r="P19" i="1" s="1"/>
  <c r="P5" i="1" l="1"/>
  <c r="L10" i="2" l="1"/>
  <c r="M8" i="1" s="1"/>
  <c r="L10" i="1"/>
  <c r="L11" i="1" s="1"/>
  <c r="L12" i="1" s="1"/>
  <c r="L13" i="1" s="1"/>
  <c r="L6" i="4" l="1"/>
  <c r="L5" i="2"/>
  <c r="L24" i="2" l="1"/>
  <c r="L23" i="2"/>
  <c r="L8" i="2"/>
  <c r="L13" i="2" s="1"/>
  <c r="M10" i="2"/>
  <c r="M10" i="1"/>
  <c r="L16" i="2" l="1"/>
  <c r="L4" i="4" s="1"/>
  <c r="L7" i="4" s="1"/>
  <c r="L14" i="2"/>
  <c r="M11" i="1"/>
  <c r="M12" i="1" s="1"/>
  <c r="M13" i="1" s="1"/>
  <c r="N8" i="1"/>
  <c r="M6" i="4" l="1"/>
  <c r="M5" i="2"/>
  <c r="N10" i="1"/>
  <c r="N11" i="1" s="1"/>
  <c r="N12" i="1" s="1"/>
  <c r="N13" i="1" s="1"/>
  <c r="N10" i="2"/>
  <c r="O8" i="1" s="1"/>
  <c r="M24" i="2" l="1"/>
  <c r="N6" i="4"/>
  <c r="M23" i="2"/>
  <c r="M8" i="2"/>
  <c r="M13" i="2" s="1"/>
  <c r="N5" i="2"/>
  <c r="O10" i="2"/>
  <c r="P8" i="1" s="1"/>
  <c r="O10" i="1"/>
  <c r="O11" i="1" s="1"/>
  <c r="O12" i="1" s="1"/>
  <c r="O13" i="1" s="1"/>
  <c r="N24" i="2" l="1"/>
  <c r="O6" i="4"/>
  <c r="M14" i="2"/>
  <c r="M16" i="2"/>
  <c r="N8" i="2"/>
  <c r="N13" i="2" s="1"/>
  <c r="N23" i="2"/>
  <c r="O5" i="2"/>
  <c r="O24" i="2" s="1"/>
  <c r="P10" i="1"/>
  <c r="P11" i="1" s="1"/>
  <c r="P12" i="1" s="1"/>
  <c r="P13" i="1" s="1"/>
  <c r="P10" i="2"/>
  <c r="M4" i="4" l="1"/>
  <c r="M7" i="4" s="1"/>
  <c r="P6" i="4"/>
  <c r="N14" i="2"/>
  <c r="N16" i="2"/>
  <c r="N4" i="4" s="1"/>
  <c r="N7" i="4" s="1"/>
  <c r="O8" i="2"/>
  <c r="O13" i="2" s="1"/>
  <c r="O23" i="2"/>
  <c r="P5" i="2"/>
  <c r="P24" i="2" s="1"/>
  <c r="P8" i="2" l="1"/>
  <c r="P13" i="2" s="1"/>
  <c r="P23" i="2"/>
  <c r="O14" i="2"/>
  <c r="O16" i="2"/>
  <c r="P16" i="2" l="1"/>
  <c r="P4" i="4" s="1"/>
  <c r="P7" i="4" s="1"/>
  <c r="P14" i="2"/>
  <c r="O4" i="4"/>
  <c r="O7" i="4" s="1"/>
</calcChain>
</file>

<file path=xl/sharedStrings.xml><?xml version="1.0" encoding="utf-8"?>
<sst xmlns="http://schemas.openxmlformats.org/spreadsheetml/2006/main" count="124" uniqueCount="84">
  <si>
    <t>COMPANY NAME</t>
  </si>
  <si>
    <t>SCREENER.IN</t>
  </si>
  <si>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</si>
  <si>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</si>
  <si>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</si>
  <si>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</si>
  <si>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</si>
  <si>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</si>
  <si>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</si>
  <si>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</si>
  <si>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</si>
  <si>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</si>
  <si>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</si>
  <si>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</si>
  <si>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</si>
  <si>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</si>
  <si>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</si>
  <si>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</si>
  <si>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</si>
  <si>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</si>
  <si>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</si>
  <si>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</si>
  <si>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</si>
  <si>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</si>
  <si>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</si>
  <si>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</si>
  <si>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</si>
  <si>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</si>
  <si>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</si>
  <si>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</si>
  <si>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</si>
  <si>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</si>
  <si>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</si>
  <si>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</si>
  <si>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</si>
  <si>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</si>
  <si>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</si>
  <si>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</si>
  <si>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</si>
  <si>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</si>
  <si>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</si>
  <si>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</si>
  <si>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</si>
  <si>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</si>
  <si>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</si>
  <si>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</si>
  <si>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</si>
  <si>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</si>
  <si>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</si>
  <si>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BRITANNIA INDUSTRIES LTD</t>
  </si>
  <si>
    <t>META</t>
  </si>
  <si>
    <t>10 YEARS</t>
  </si>
  <si>
    <t>7 YEARS</t>
  </si>
  <si>
    <t>5 YEARS</t>
  </si>
  <si>
    <t>3 YEARS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</si>
  <si>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</si>
  <si>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</si>
  <si>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</si>
  <si>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</si>
  <si>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</si>
  <si>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</si>
  <si>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</si>
  <si>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</si>
  <si>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</si>
  <si>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</si>
  <si>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</si>
  <si>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</si>
  <si>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</si>
  <si>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</si>
  <si>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</si>
  <si>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</si>
  <si>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</si>
  <si>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</si>
  <si>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</si>
  <si>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</si>
  <si>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Revenue growth %</t>
  </si>
  <si>
    <t>Operating margin (OPM) %</t>
  </si>
  <si>
    <t>Effective tax rate %</t>
  </si>
  <si>
    <t>Depreciation as % of Fixed Assets + CWIP</t>
  </si>
  <si>
    <t>Capex as % of Sales</t>
  </si>
  <si>
    <t>Interest rate on average borrowings %</t>
  </si>
  <si>
    <t>Working capital as % of Sales</t>
  </si>
  <si>
    <t>Dividend payout 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</si>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</sst>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%;\(0.0%\)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3">
    <xf numFmtId="0" fontId="0" fillId="0" borderId="0" xfId="0"/>
    <xf numFmtId="43" fontId="1" fillId="0" borderId="0" xfId="1" applyFont="1" applyBorder="1"/>
    <xf numFmtId="0" fontId="1" fillId="0" borderId="0" xfId="0" applyFont="1"/>
    <xf numFmtId="0" fontId="7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65" fontId="2" fillId="5" borderId="0" xfId="1" applyNumberFormat="1" applyFont="1" applyFill="1" applyBorder="1"/>
    <xf numFmtId="165" fontId="8" fillId="0" borderId="0" xfId="1" applyNumberFormat="1" applyFont="1" applyFill="1" applyBorder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164" fontId="0" fillId="0" borderId="0" xfId="1" applyNumberFormat="1" applyFont="1" applyBorder="1"/>
    <xf numFmtId="9" fontId="0" fillId="0" borderId="0" xfId="6" applyFont="1"/>
    <xf numFmtId="17" fontId="2" fillId="5" borderId="0" xfId="0" applyNumberFormat="1" applyFont="1" applyFill="1" applyAlignment="1">
      <alignment horizontal="center"/>
    </xf>
    <xf numFmtId="43" fontId="3" fillId="0" borderId="0" xfId="1" applyFont="1" applyFill="1" applyBorder="1"/>
    <xf numFmtId="43" fontId="1" fillId="0" borderId="0" xfId="1" applyFont="1" applyFill="1" applyBorder="1"/>
    <xf numFmtId="43" fontId="2" fillId="0" borderId="0" xfId="3" applyNumberFormat="1" applyFont="1" applyFill="1" applyBorder="1"/>
    <xf numFmtId="43" fontId="2" fillId="0" borderId="0" xfId="4" applyNumberFormat="1" applyFont="1" applyFill="1" applyBorder="1"/>
    <xf numFmtId="0" fontId="2" fillId="0" borderId="0" xfId="0" applyFont="1" applyAlignment="1">
      <alignment horizontal="center"/>
    </xf>
    <xf numFmtId="10" fontId="1" fillId="0" borderId="0" xfId="0" applyNumberFormat="1" applyFont="1"/>
    <xf numFmtId="166" fontId="9" fillId="6" borderId="1" xfId="0" applyNumberFormat="1" applyFont="1" applyFill="1" applyBorder="1"/>
    <xf numFmtId="43" fontId="0" fillId="0" borderId="0" xfId="0" applyNumberFormat="1"/>
    <xf numFmtId="2" fontId="1" fillId="0" borderId="0" xfId="0" applyNumberFormat="1" applyFont="1"/>
    <xf numFmtId="43" fontId="1" fillId="0" borderId="0" xfId="0" applyNumberFormat="1" applyFont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9" fontId="0" fillId="0" borderId="0" xfId="6" applyFont="1" applyAlignment="1">
      <alignment horizontal="left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24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S19" headerRowCount="0" totalsRowShown="0" headerRowDxfId="23">
  <tableColumns count="19">
    <tableColumn id="1" xr3:uid="{00000000-0010-0000-0000-000001000000}" name="Column1" headerRowDxfId="22" dataDxfId="21"/>
    <tableColumn id="2" xr3:uid="{00000000-0010-0000-0000-000002000000}" name="Column2" headerRowDxfId="20"/>
    <tableColumn id="3" xr3:uid="{00000000-0010-0000-0000-000003000000}" name="Column3" headerRowDxfId="19"/>
    <tableColumn id="4" xr3:uid="{00000000-0010-0000-0000-000004000000}" name="Column4" headerRowDxfId="18"/>
    <tableColumn id="5" xr3:uid="{00000000-0010-0000-0000-000005000000}" name="Column5" headerRowDxfId="17"/>
    <tableColumn id="6" xr3:uid="{00000000-0010-0000-0000-000006000000}" name="Column6" headerRowDxfId="16"/>
    <tableColumn id="7" xr3:uid="{00000000-0010-0000-0000-000007000000}" name="Column7" headerRowDxfId="15"/>
    <tableColumn id="8" xr3:uid="{00000000-0010-0000-0000-000008000000}" name="Column8" headerRowDxfId="14"/>
    <tableColumn id="9" xr3:uid="{00000000-0010-0000-0000-000009000000}" name="Column9" headerRowDxfId="13"/>
    <tableColumn id="10" xr3:uid="{00000000-0010-0000-0000-00000A000000}" name="Column10" headerRowDxfId="12"/>
    <tableColumn id="11" xr3:uid="{00000000-0010-0000-0000-00000B000000}" name="Column11" headerRowDxfId="11"/>
    <tableColumn id="12" xr3:uid="{00000000-0010-0000-0000-00000C000000}" name="Column12" headerRowDxfId="10"/>
    <tableColumn id="13" xr3:uid="{00000000-0010-0000-0000-00000D000000}" name="Column13" headerRowDxfId="9" dataDxfId="8"/>
    <tableColumn id="14" xr3:uid="{00000000-0010-0000-0000-00000E000000}" name="Column14" headerRowDxfId="7" dataDxfId="6"/>
    <tableColumn id="15" xr3:uid="{2F663B29-28E7-4AA3-9D55-B2D4D18A9609}" name="Column15" headerRowDxfId="5"/>
    <tableColumn id="16" xr3:uid="{D35926EE-F7AF-4B68-8B7B-7DFD15407D3A}" name="Column16" headerRowDxfId="4"/>
    <tableColumn id="17" xr3:uid="{B7C918CD-DFE5-4638-AB1D-433120E1C1B6}" name="Column17" headerRowDxfId="3"/>
    <tableColumn id="18" xr3:uid="{00ED0078-1865-43E8-8A87-CF52CB1DF942}" name="Column18" headerRowDxfId="2"/>
    <tableColumn id="19" xr3:uid="{405B6658-EC3C-48CB-A33E-B52367F5F37C}" name="Column19" headerRow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34"/>
  <sheetViews>
    <sheetView zoomScale="102" zoomScaleNormal="102" zoomScaleSheetLayoutView="100" zoomScalePageLayoutView="120" workbookViewId="0">
      <pane xSplit="1" topLeftCell="C1" activePane="topRight" state="frozen"/>
      <selection pane="topRight" activeCell="E4" sqref="E4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  <col min="15" max="16" width="10.5546875" bestFit="1" customWidth="1"/>
  </cols>
  <sheetData>
    <row r="1" spans="1:16" s="2" customFormat="1" x14ac:dyDescent="0.3">
      <c r="A1" s="2" t="str">
        <f>'Data Sheet'!B1</f>
        <v>BRITANNIA INDUSTRIES LTD</v>
      </c>
      <c r="H1" t="str">
        <f>UPDATE</f>
        <v/>
      </c>
      <c r="J1" s="3"/>
      <c r="K1" s="3"/>
    </row>
    <row r="3" spans="1:16" s="2" customFormat="1" x14ac:dyDescent="0.3">
      <c r="A3" s="8" t="s">
        <v>2</v>
      </c>
      <c r="B3" s="9">
        <f>'Data Sheet'!B16</f>
        <v>42825</v>
      </c>
      <c r="C3" s="9">
        <f>'Data Sheet'!C16</f>
        <v>43190</v>
      </c>
      <c r="D3" s="9">
        <f>'Data Sheet'!D16</f>
        <v>43555</v>
      </c>
      <c r="E3" s="9">
        <f>'Data Sheet'!E16</f>
        <v>43921</v>
      </c>
      <c r="F3" s="9">
        <f>'Data Sheet'!F16</f>
        <v>44286</v>
      </c>
      <c r="G3" s="9">
        <f>'Data Sheet'!G16</f>
        <v>44651</v>
      </c>
      <c r="H3" s="9">
        <f>'Data Sheet'!H16</f>
        <v>45016</v>
      </c>
      <c r="I3" s="9">
        <f>'Data Sheet'!I16</f>
        <v>45382</v>
      </c>
      <c r="J3" s="9">
        <f>'Data Sheet'!J16</f>
        <v>45747</v>
      </c>
      <c r="K3" s="9">
        <f>'Data Sheet'!K16</f>
        <v>46112</v>
      </c>
      <c r="L3" s="19">
        <v>46447</v>
      </c>
      <c r="M3" s="19">
        <v>46813</v>
      </c>
      <c r="N3" s="19">
        <v>47178</v>
      </c>
      <c r="O3" s="19">
        <v>47543</v>
      </c>
      <c r="P3" s="19">
        <v>47908</v>
      </c>
    </row>
    <row r="4" spans="1:16" s="2" customFormat="1" x14ac:dyDescent="0.3">
      <c r="A4" s="2" t="s">
        <v>3</v>
      </c>
      <c r="B4" s="1">
        <f>'Data Sheet'!B17</f>
        <v>9054.09</v>
      </c>
      <c r="C4" s="1">
        <f>'Data Sheet'!C17</f>
        <v>9913.99</v>
      </c>
      <c r="D4" s="1">
        <f>'Data Sheet'!D17</f>
        <v>11054.67</v>
      </c>
      <c r="E4" s="1">
        <f>'Data Sheet'!E17</f>
        <v>11599.55</v>
      </c>
      <c r="F4" s="1">
        <f>'Data Sheet'!F17</f>
        <v>13136.14</v>
      </c>
      <c r="G4" s="1">
        <f>'Data Sheet'!G17</f>
        <v>14136.26</v>
      </c>
      <c r="H4" s="1">
        <f>'Data Sheet'!H17</f>
        <v>16300.55</v>
      </c>
      <c r="I4" s="1">
        <f>'Data Sheet'!I17</f>
        <v>16769.27</v>
      </c>
      <c r="J4" s="1">
        <f>'Data Sheet'!J17</f>
        <v>17942.669999999998</v>
      </c>
      <c r="K4" s="1">
        <f>'Data Sheet'!K17</f>
        <v>19151.59</v>
      </c>
      <c r="L4" s="1">
        <f>K4*(1+assumption!$B$1)</f>
        <v>20573.772582099336</v>
      </c>
      <c r="M4" s="1">
        <f>L4*(1+assumption!$B$1)</f>
        <v>22101.565366632349</v>
      </c>
      <c r="N4" s="1">
        <f>M4*(1+assumption!$B$1)</f>
        <v>23742.810887320422</v>
      </c>
      <c r="O4" s="1">
        <f>N4*(1+assumption!$B$1)</f>
        <v>25505.934058504936</v>
      </c>
      <c r="P4" s="1">
        <f>O4*(1+assumption!$B$1)</f>
        <v>27399.98542229144</v>
      </c>
    </row>
    <row r="5" spans="1:16" x14ac:dyDescent="0.3">
      <c r="A5" t="s">
        <v>4</v>
      </c>
      <c r="B5" s="6">
        <f>SUM('Data Sheet'!B18,'Data Sheet'!B20:B24, -1*'Data Sheet'!B19)</f>
        <v>7775.91</v>
      </c>
      <c r="C5" s="6">
        <f>SUM('Data Sheet'!C18,'Data Sheet'!C20:C24, -1*'Data Sheet'!C19)</f>
        <v>8412.52</v>
      </c>
      <c r="D5" s="6">
        <f>SUM('Data Sheet'!D18,'Data Sheet'!D20:D24, -1*'Data Sheet'!D19)</f>
        <v>9322.2199999999993</v>
      </c>
      <c r="E5" s="6">
        <f>SUM('Data Sheet'!E18,'Data Sheet'!E20:E24, -1*'Data Sheet'!E19)</f>
        <v>9756.369999999999</v>
      </c>
      <c r="F5" s="6">
        <f>SUM('Data Sheet'!F18,'Data Sheet'!F20:F24, -1*'Data Sheet'!F19)</f>
        <v>10626.849999999999</v>
      </c>
      <c r="G5" s="6">
        <f>SUM('Data Sheet'!G18,'Data Sheet'!G20:G24, -1*'Data Sheet'!G19)</f>
        <v>11934.949999999999</v>
      </c>
      <c r="H5" s="6">
        <f>SUM('Data Sheet'!H18,'Data Sheet'!H20:H24, -1*'Data Sheet'!H19)</f>
        <v>13469.64</v>
      </c>
      <c r="I5" s="6">
        <f>SUM('Data Sheet'!I18,'Data Sheet'!I20:I24, -1*'Data Sheet'!I19)</f>
        <v>13602.620000000003</v>
      </c>
      <c r="J5" s="6">
        <f>SUM('Data Sheet'!J18,'Data Sheet'!J20:J24, -1*'Data Sheet'!J19)</f>
        <v>14766.26</v>
      </c>
      <c r="K5" s="6">
        <f>SUM('Data Sheet'!K18,'Data Sheet'!K20:K24, -1*'Data Sheet'!K19)</f>
        <v>15637.249999999998</v>
      </c>
      <c r="L5" s="6">
        <f>L4-L6</f>
        <v>16798.460352870588</v>
      </c>
      <c r="M5" s="6">
        <f t="shared" ref="M5:P5" si="0">M4-M6</f>
        <v>18045.901307900371</v>
      </c>
      <c r="N5" s="6">
        <f t="shared" si="0"/>
        <v>19385.976284358178</v>
      </c>
      <c r="O5" s="6">
        <f t="shared" si="0"/>
        <v>20825.564214582511</v>
      </c>
      <c r="P5" s="6">
        <f t="shared" si="0"/>
        <v>22372.054855222297</v>
      </c>
    </row>
    <row r="6" spans="1:16" s="2" customFormat="1" x14ac:dyDescent="0.3">
      <c r="A6" s="2" t="s">
        <v>5</v>
      </c>
      <c r="B6" s="1">
        <f>B4-B5</f>
        <v>1278.1800000000003</v>
      </c>
      <c r="C6" s="1">
        <f t="shared" ref="C6:K6" si="1">C4-C5</f>
        <v>1501.4699999999993</v>
      </c>
      <c r="D6" s="1">
        <f t="shared" si="1"/>
        <v>1732.4500000000007</v>
      </c>
      <c r="E6" s="1">
        <f t="shared" si="1"/>
        <v>1843.1800000000003</v>
      </c>
      <c r="F6" s="1">
        <f t="shared" si="1"/>
        <v>2509.2900000000009</v>
      </c>
      <c r="G6" s="1">
        <f t="shared" si="1"/>
        <v>2201.3100000000013</v>
      </c>
      <c r="H6" s="1">
        <f t="shared" si="1"/>
        <v>2830.91</v>
      </c>
      <c r="I6" s="1">
        <f t="shared" si="1"/>
        <v>3166.6499999999978</v>
      </c>
      <c r="J6" s="1">
        <f t="shared" si="1"/>
        <v>3176.409999999998</v>
      </c>
      <c r="K6" s="1">
        <f t="shared" si="1"/>
        <v>3514.340000000002</v>
      </c>
      <c r="L6" s="1">
        <f>L4*assumption!$B$2</f>
        <v>3775.3122292287494</v>
      </c>
      <c r="M6" s="1">
        <f>M4*assumption!$B$2</f>
        <v>4055.6640587319789</v>
      </c>
      <c r="N6" s="1">
        <f>N4*assumption!$B$2</f>
        <v>4356.8346029622453</v>
      </c>
      <c r="O6" s="1">
        <f>O4*assumption!$B$2</f>
        <v>4680.3698439224263</v>
      </c>
      <c r="P6" s="1">
        <f>P4*assumption!$B$2</f>
        <v>5027.9305670691447</v>
      </c>
    </row>
    <row r="7" spans="1:16" x14ac:dyDescent="0.3">
      <c r="A7" t="s">
        <v>6</v>
      </c>
      <c r="B7" s="6">
        <f>'Data Sheet'!B25</f>
        <v>150.54</v>
      </c>
      <c r="C7" s="6">
        <f>'Data Sheet'!C25</f>
        <v>166.37</v>
      </c>
      <c r="D7" s="6">
        <f>'Data Sheet'!D25</f>
        <v>206.45</v>
      </c>
      <c r="E7" s="6">
        <f>'Data Sheet'!E25</f>
        <v>262.83</v>
      </c>
      <c r="F7" s="6">
        <f>'Data Sheet'!F25</f>
        <v>313.07</v>
      </c>
      <c r="G7" s="6">
        <f>'Data Sheet'!G25</f>
        <v>221.85</v>
      </c>
      <c r="H7" s="6">
        <f>'Data Sheet'!H25</f>
        <v>596.87</v>
      </c>
      <c r="I7" s="6">
        <f>'Data Sheet'!I25</f>
        <v>211.28</v>
      </c>
      <c r="J7" s="6">
        <f>'Data Sheet'!J25</f>
        <v>202.3</v>
      </c>
      <c r="K7" s="6">
        <f>'Data Sheet'!K25</f>
        <v>224.03</v>
      </c>
      <c r="L7" s="6">
        <f>AVERAGE(I7:K7)</f>
        <v>212.53666666666666</v>
      </c>
      <c r="M7" s="6">
        <f t="shared" ref="M7:P7" si="2">AVERAGE(J7:L7)</f>
        <v>212.95555555555555</v>
      </c>
      <c r="N7" s="6">
        <f t="shared" si="2"/>
        <v>216.50740740740741</v>
      </c>
      <c r="O7" s="6">
        <f t="shared" si="2"/>
        <v>213.99987654320989</v>
      </c>
      <c r="P7" s="6">
        <f t="shared" si="2"/>
        <v>214.48761316872427</v>
      </c>
    </row>
    <row r="8" spans="1:16" x14ac:dyDescent="0.3">
      <c r="A8" t="s">
        <v>7</v>
      </c>
      <c r="B8" s="6">
        <f>'Data Sheet'!B26</f>
        <v>119.27</v>
      </c>
      <c r="C8" s="6">
        <f>'Data Sheet'!C26</f>
        <v>142.07</v>
      </c>
      <c r="D8" s="6">
        <f>'Data Sheet'!D26</f>
        <v>161.88</v>
      </c>
      <c r="E8" s="6">
        <f>'Data Sheet'!E26</f>
        <v>184.81</v>
      </c>
      <c r="F8" s="6">
        <f>'Data Sheet'!F26</f>
        <v>197.85</v>
      </c>
      <c r="G8" s="6">
        <f>'Data Sheet'!G26</f>
        <v>200.54</v>
      </c>
      <c r="H8" s="6">
        <f>'Data Sheet'!H26</f>
        <v>225.91</v>
      </c>
      <c r="I8" s="6">
        <f>'Data Sheet'!I26</f>
        <v>300.45999999999998</v>
      </c>
      <c r="J8" s="6">
        <f>'Data Sheet'!J26</f>
        <v>313.33999999999997</v>
      </c>
      <c r="K8" s="6">
        <f>'Data Sheet'!K26</f>
        <v>336.83</v>
      </c>
      <c r="L8" s="6">
        <f>('Balance Sheet'!K10+'Balance Sheet'!K11)*assumption!$B$4</f>
        <v>317.78559999999999</v>
      </c>
      <c r="M8" s="6">
        <f>('Balance Sheet'!L10+'Balance Sheet'!L11)*assumption!$B$4</f>
        <v>350.72263352092779</v>
      </c>
      <c r="N8" s="6">
        <f>('Balance Sheet'!M10+'Balance Sheet'!M11)*assumption!$B$4</f>
        <v>385.07830954351249</v>
      </c>
      <c r="O8" s="6">
        <f>('Balance Sheet'!N10+'Balance Sheet'!N11)*assumption!$B$4</f>
        <v>421.07097142188348</v>
      </c>
      <c r="P8" s="6">
        <f>('Balance Sheet'!O10+'Balance Sheet'!O11)*assumption!$B$4</f>
        <v>458.92274695854252</v>
      </c>
    </row>
    <row r="9" spans="1:16" x14ac:dyDescent="0.3">
      <c r="A9" t="s">
        <v>8</v>
      </c>
      <c r="B9" s="6">
        <f>'Data Sheet'!B27</f>
        <v>5.45</v>
      </c>
      <c r="C9" s="6">
        <f>'Data Sheet'!C27</f>
        <v>7.59</v>
      </c>
      <c r="D9" s="6">
        <f>'Data Sheet'!D27</f>
        <v>9.09</v>
      </c>
      <c r="E9" s="6">
        <f>'Data Sheet'!E27</f>
        <v>76.900000000000006</v>
      </c>
      <c r="F9" s="6">
        <f>'Data Sheet'!F27</f>
        <v>110.9</v>
      </c>
      <c r="G9" s="6">
        <f>'Data Sheet'!G27</f>
        <v>144.29</v>
      </c>
      <c r="H9" s="6">
        <f>'Data Sheet'!H27</f>
        <v>169.1</v>
      </c>
      <c r="I9" s="6">
        <f>'Data Sheet'!I27</f>
        <v>164</v>
      </c>
      <c r="J9" s="6">
        <f>'Data Sheet'!J27</f>
        <v>138.80000000000001</v>
      </c>
      <c r="K9" s="6">
        <f>'Data Sheet'!K27</f>
        <v>112.76</v>
      </c>
      <c r="L9" s="6">
        <f>'Balance Sheet'!L6*assumption!$B$6</f>
        <v>124.22519999999999</v>
      </c>
      <c r="M9" s="6">
        <f>'Balance Sheet'!M6*assumption!$B$6</f>
        <v>124.22519999999999</v>
      </c>
      <c r="N9" s="6">
        <f>'Balance Sheet'!N6*assumption!$B$6</f>
        <v>124.22519999999999</v>
      </c>
      <c r="O9" s="6">
        <f>'Balance Sheet'!O6*assumption!$B$6</f>
        <v>124.22519999999999</v>
      </c>
      <c r="P9" s="6">
        <f>'Balance Sheet'!P6*assumption!$B$6</f>
        <v>124.22519999999999</v>
      </c>
    </row>
    <row r="10" spans="1:16" x14ac:dyDescent="0.3">
      <c r="A10" t="s">
        <v>9</v>
      </c>
      <c r="B10" s="6">
        <f>'Data Sheet'!B28</f>
        <v>1304</v>
      </c>
      <c r="C10" s="6">
        <f>'Data Sheet'!C28</f>
        <v>1518.18</v>
      </c>
      <c r="D10" s="6">
        <f>'Data Sheet'!D28</f>
        <v>1767.93</v>
      </c>
      <c r="E10" s="6">
        <f>'Data Sheet'!E28</f>
        <v>1844.3</v>
      </c>
      <c r="F10" s="6">
        <f>'Data Sheet'!F28</f>
        <v>2513.61</v>
      </c>
      <c r="G10" s="6">
        <f>'Data Sheet'!G28</f>
        <v>2078.33</v>
      </c>
      <c r="H10" s="6">
        <f>'Data Sheet'!H28</f>
        <v>3032.77</v>
      </c>
      <c r="I10" s="6">
        <f>'Data Sheet'!I28</f>
        <v>2913.47</v>
      </c>
      <c r="J10" s="6">
        <f>'Data Sheet'!J28</f>
        <v>2926.57</v>
      </c>
      <c r="K10" s="6">
        <f>'Data Sheet'!K28</f>
        <v>3288.78</v>
      </c>
      <c r="L10" s="20">
        <f>L6+L7-L8-L9</f>
        <v>3545.8380958954162</v>
      </c>
      <c r="M10" s="20">
        <f t="shared" ref="M10:P10" si="3">M6+M7-M8-M9</f>
        <v>3793.6717807666064</v>
      </c>
      <c r="N10" s="20">
        <f t="shared" si="3"/>
        <v>4064.0385008261401</v>
      </c>
      <c r="O10" s="20">
        <f t="shared" si="3"/>
        <v>4349.0735490437528</v>
      </c>
      <c r="P10" s="20">
        <f t="shared" si="3"/>
        <v>4659.2702332793269</v>
      </c>
    </row>
    <row r="11" spans="1:16" x14ac:dyDescent="0.3">
      <c r="A11" t="s">
        <v>10</v>
      </c>
      <c r="B11" s="6">
        <f>'Data Sheet'!B29</f>
        <v>419.67</v>
      </c>
      <c r="C11" s="6">
        <f>'Data Sheet'!C29</f>
        <v>514.22</v>
      </c>
      <c r="D11" s="6">
        <f>'Data Sheet'!D29</f>
        <v>612.47</v>
      </c>
      <c r="E11" s="6">
        <f>'Data Sheet'!E29</f>
        <v>450.7</v>
      </c>
      <c r="F11" s="6">
        <f>'Data Sheet'!F29</f>
        <v>663.02</v>
      </c>
      <c r="G11" s="6">
        <f>'Data Sheet'!G29</f>
        <v>562.35</v>
      </c>
      <c r="H11" s="6">
        <f>'Data Sheet'!H29</f>
        <v>716.45</v>
      </c>
      <c r="I11" s="6">
        <f>'Data Sheet'!I29</f>
        <v>779.25</v>
      </c>
      <c r="J11" s="6">
        <f>'Data Sheet'!J29</f>
        <v>748.71</v>
      </c>
      <c r="K11" s="6">
        <f>'Data Sheet'!K29</f>
        <v>751.77</v>
      </c>
      <c r="L11" s="20">
        <f>L10*assumption!$B$3</f>
        <v>851.00114301489987</v>
      </c>
      <c r="M11" s="20">
        <f>M10*assumption!$B$3</f>
        <v>910.48122738398547</v>
      </c>
      <c r="N11" s="20">
        <f>N10*assumption!$B$3</f>
        <v>975.36924019827359</v>
      </c>
      <c r="O11" s="20">
        <f>O10*assumption!$B$3</f>
        <v>1043.7776517705006</v>
      </c>
      <c r="P11" s="20">
        <f>P10*assumption!$B$3</f>
        <v>1118.2248559870384</v>
      </c>
    </row>
    <row r="12" spans="1:16" s="2" customFormat="1" x14ac:dyDescent="0.3">
      <c r="A12" s="2" t="s">
        <v>11</v>
      </c>
      <c r="B12" s="1">
        <f>'Data Sheet'!B30</f>
        <v>884.47</v>
      </c>
      <c r="C12" s="1">
        <f>'Data Sheet'!C30</f>
        <v>1004.23</v>
      </c>
      <c r="D12" s="1">
        <f>'Data Sheet'!D30</f>
        <v>1159.1199999999999</v>
      </c>
      <c r="E12" s="1">
        <f>'Data Sheet'!E30</f>
        <v>1402.63</v>
      </c>
      <c r="F12" s="1">
        <f>'Data Sheet'!F30</f>
        <v>1863.9</v>
      </c>
      <c r="G12" s="1">
        <f>'Data Sheet'!G30</f>
        <v>1524.82</v>
      </c>
      <c r="H12" s="1">
        <f>'Data Sheet'!H30</f>
        <v>2321.77</v>
      </c>
      <c r="I12" s="1">
        <f>'Data Sheet'!I30</f>
        <v>2139.81</v>
      </c>
      <c r="J12" s="1">
        <f>'Data Sheet'!J30</f>
        <v>2178.73</v>
      </c>
      <c r="K12" s="1">
        <f>'Data Sheet'!K30</f>
        <v>2533.4899999999998</v>
      </c>
      <c r="L12" s="21">
        <f>L10-L11</f>
        <v>2694.8369528805165</v>
      </c>
      <c r="M12" s="21">
        <f t="shared" ref="M12:P12" si="4">M10-M11</f>
        <v>2883.1905533826211</v>
      </c>
      <c r="N12" s="21">
        <f t="shared" si="4"/>
        <v>3088.6692606278666</v>
      </c>
      <c r="O12" s="21">
        <f t="shared" si="4"/>
        <v>3305.2958972732522</v>
      </c>
      <c r="P12" s="21">
        <f t="shared" si="4"/>
        <v>3541.0453772922883</v>
      </c>
    </row>
    <row r="13" spans="1:16" x14ac:dyDescent="0.3">
      <c r="A13" t="s">
        <v>43</v>
      </c>
      <c r="B13" s="6">
        <f>IF('Data Sheet'!B93&gt;0,B12/'Data Sheet'!B93,0)</f>
        <v>36.852916666666665</v>
      </c>
      <c r="C13" s="6">
        <f>IF('Data Sheet'!C93&gt;0,C12/'Data Sheet'!C93,0)</f>
        <v>41.825489379425235</v>
      </c>
      <c r="D13" s="6">
        <f>IF('Data Sheet'!D93&gt;0,D12/'Data Sheet'!D93,0)</f>
        <v>48.236371202663328</v>
      </c>
      <c r="E13" s="6">
        <f>IF('Data Sheet'!E93&gt;0,E12/'Data Sheet'!E93,0)</f>
        <v>58.321413721413727</v>
      </c>
      <c r="F13" s="6">
        <f>IF('Data Sheet'!F93&gt;0,F12/'Data Sheet'!F93,0)</f>
        <v>77.372353673723538</v>
      </c>
      <c r="G13" s="6">
        <f>IF('Data Sheet'!G93&gt;0,G12/'Data Sheet'!G93,0)</f>
        <v>63.296803652968038</v>
      </c>
      <c r="H13" s="6">
        <f>IF('Data Sheet'!H93&gt;0,H12/'Data Sheet'!H93,0)</f>
        <v>96.378995433789953</v>
      </c>
      <c r="I13" s="6">
        <f>IF('Data Sheet'!I93&gt;0,I12/'Data Sheet'!I93,0)</f>
        <v>88.825653798256539</v>
      </c>
      <c r="J13" s="6">
        <f>IF('Data Sheet'!J93&gt;0,J12/'Data Sheet'!J93,0)</f>
        <v>90.441261934412623</v>
      </c>
      <c r="K13" s="6">
        <f>IF('Data Sheet'!K93&gt;0,K12/'Data Sheet'!K93,0)</f>
        <v>105.16770444167703</v>
      </c>
      <c r="L13" s="20">
        <f>L12/'Data Sheet'!$K$93</f>
        <v>111.86537786967691</v>
      </c>
      <c r="M13" s="20">
        <f>M12/'Data Sheet'!$K$93</f>
        <v>119.68412425830724</v>
      </c>
      <c r="N13" s="20">
        <f>N12/'Data Sheet'!$K$93</f>
        <v>128.21375096006088</v>
      </c>
      <c r="O13" s="20">
        <f>O12/'Data Sheet'!$K$93</f>
        <v>137.20613936377137</v>
      </c>
      <c r="P13" s="20">
        <f>P12/'Data Sheet'!$K$93</f>
        <v>146.99233612670355</v>
      </c>
    </row>
    <row r="14" spans="1:16" x14ac:dyDescent="0.3">
      <c r="A14" t="s">
        <v>13</v>
      </c>
      <c r="B14" s="6">
        <f>IF(B15&gt;0,B15/B13,"")</f>
        <v>45.776566757493192</v>
      </c>
      <c r="C14" s="6">
        <f t="shared" ref="C14:K14" si="5">IF(C15&gt;0,C15/C13,"")</f>
        <v>59.420703424514315</v>
      </c>
      <c r="D14" s="6">
        <f t="shared" si="5"/>
        <v>63.966254572434273</v>
      </c>
      <c r="E14" s="6">
        <f t="shared" si="5"/>
        <v>46.105706779407249</v>
      </c>
      <c r="F14" s="6">
        <f t="shared" si="5"/>
        <v>46.852006277160797</v>
      </c>
      <c r="G14" s="6">
        <f t="shared" si="5"/>
        <v>50.656586351175875</v>
      </c>
      <c r="H14" s="6">
        <f t="shared" si="5"/>
        <v>44.845352252807125</v>
      </c>
      <c r="I14" s="6">
        <f t="shared" si="5"/>
        <v>55.290896154331456</v>
      </c>
      <c r="J14" s="6">
        <f t="shared" si="5"/>
        <v>54.58681020594566</v>
      </c>
      <c r="K14" s="6">
        <f t="shared" si="5"/>
        <v>51.565259779987294</v>
      </c>
      <c r="L14" s="20"/>
      <c r="M14" s="20"/>
      <c r="N14" s="20"/>
    </row>
    <row r="15" spans="1:16" s="2" customFormat="1" x14ac:dyDescent="0.3">
      <c r="A15" s="2" t="s">
        <v>44</v>
      </c>
      <c r="B15" s="1">
        <f>'Data Sheet'!B90</f>
        <v>1687</v>
      </c>
      <c r="C15" s="1">
        <f>'Data Sheet'!C90</f>
        <v>2485.3000000000002</v>
      </c>
      <c r="D15" s="1">
        <f>'Data Sheet'!D90</f>
        <v>3085.5</v>
      </c>
      <c r="E15" s="1">
        <f>'Data Sheet'!E90</f>
        <v>2688.95</v>
      </c>
      <c r="F15" s="1">
        <f>'Data Sheet'!F90</f>
        <v>3625.05</v>
      </c>
      <c r="G15" s="1">
        <f>'Data Sheet'!G90</f>
        <v>3206.4</v>
      </c>
      <c r="H15" s="1">
        <f>'Data Sheet'!H90</f>
        <v>4322.1499999999996</v>
      </c>
      <c r="I15" s="1">
        <f>'Data Sheet'!I90</f>
        <v>4911.25</v>
      </c>
      <c r="J15" s="1">
        <f>'Data Sheet'!J90</f>
        <v>4936.8999999999996</v>
      </c>
      <c r="K15" s="1">
        <f>'Data Sheet'!K90</f>
        <v>5423</v>
      </c>
      <c r="L15" s="21"/>
      <c r="M15" s="22"/>
      <c r="N15" s="23"/>
    </row>
    <row r="17" spans="1:16" s="2" customFormat="1" x14ac:dyDescent="0.3">
      <c r="A17" s="2" t="s">
        <v>12</v>
      </c>
    </row>
    <row r="18" spans="1:16" x14ac:dyDescent="0.3">
      <c r="A18" t="s">
        <v>14</v>
      </c>
      <c r="B18" s="5">
        <f>IF('Data Sheet'!B30&gt;0, 'Data Sheet'!B31/'Data Sheet'!B30, 0)</f>
        <v>0.29848383777855664</v>
      </c>
      <c r="C18" s="5">
        <f>IF('Data Sheet'!C30&gt;0, 'Data Sheet'!C31/'Data Sheet'!C30, 0)</f>
        <v>0.2988558397976559</v>
      </c>
      <c r="D18" s="5">
        <f>IF('Data Sheet'!D30&gt;0, 'Data Sheet'!D31/'Data Sheet'!D30, 0)</f>
        <v>0.31096866588446409</v>
      </c>
      <c r="E18" s="5">
        <f>IF('Data Sheet'!E30&gt;0, 'Data Sheet'!E31/'Data Sheet'!E30, 0)</f>
        <v>0.60012262677969241</v>
      </c>
      <c r="F18" s="5">
        <f>IF('Data Sheet'!F30&gt;0, 'Data Sheet'!F31/'Data Sheet'!F30, 0)</f>
        <v>2.0356134985782499</v>
      </c>
      <c r="G18" s="5">
        <f>IF('Data Sheet'!G30&gt;0, 'Data Sheet'!G31/'Data Sheet'!G30, 0)</f>
        <v>0.89261683346231024</v>
      </c>
      <c r="H18" s="5">
        <f>IF('Data Sheet'!H30&gt;0, 'Data Sheet'!H31/'Data Sheet'!H30, 0)</f>
        <v>0.74705074146017914</v>
      </c>
      <c r="I18" s="5">
        <f>IF('Data Sheet'!I30&gt;0, 'Data Sheet'!I31/'Data Sheet'!I30, 0)</f>
        <v>0.82746598997107212</v>
      </c>
      <c r="J18" s="5">
        <f>IF('Data Sheet'!J30&gt;0, 'Data Sheet'!J31/'Data Sheet'!J30, 0)</f>
        <v>0.82926750905343938</v>
      </c>
      <c r="K18" s="5">
        <f>IF('Data Sheet'!K30&gt;0, 'Data Sheet'!K31/'Data Sheet'!K30, 0)</f>
        <v>0.86052836206181993</v>
      </c>
    </row>
    <row r="19" spans="1:16" x14ac:dyDescent="0.3">
      <c r="A19" t="s">
        <v>15</v>
      </c>
      <c r="B19" s="5">
        <f t="shared" ref="B19" si="6">IF(B6&gt;0,B6/B4,0)</f>
        <v>0.14117155893082578</v>
      </c>
      <c r="C19" s="5">
        <f t="shared" ref="C19:P19" si="7">IF(C6&gt;0,C6/C4,0)</f>
        <v>0.15144961816584437</v>
      </c>
      <c r="D19" s="5">
        <f t="shared" si="7"/>
        <v>0.15671657317676607</v>
      </c>
      <c r="E19" s="5">
        <f t="shared" si="7"/>
        <v>0.15890099184882175</v>
      </c>
      <c r="F19" s="5">
        <f t="shared" si="7"/>
        <v>0.19102186791553691</v>
      </c>
      <c r="G19" s="5">
        <f t="shared" si="7"/>
        <v>0.15572082007546559</v>
      </c>
      <c r="H19" s="5">
        <f t="shared" si="7"/>
        <v>0.17366960010551791</v>
      </c>
      <c r="I19" s="5">
        <f t="shared" si="7"/>
        <v>0.18883648483207663</v>
      </c>
      <c r="J19" s="5">
        <f t="shared" si="7"/>
        <v>0.1770310661679671</v>
      </c>
      <c r="K19" s="5">
        <f t="shared" si="7"/>
        <v>0.1835012132151953</v>
      </c>
      <c r="L19" s="5">
        <f t="shared" si="7"/>
        <v>0.1835012132151953</v>
      </c>
      <c r="M19" s="5">
        <f t="shared" si="7"/>
        <v>0.1835012132151953</v>
      </c>
      <c r="N19" s="5">
        <f t="shared" si="7"/>
        <v>0.1835012132151953</v>
      </c>
      <c r="O19" s="5">
        <f t="shared" si="7"/>
        <v>0.18350121321519533</v>
      </c>
      <c r="P19" s="5">
        <f t="shared" si="7"/>
        <v>0.1835012132151953</v>
      </c>
    </row>
    <row r="20" spans="1:16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6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6" s="2" customFormat="1" x14ac:dyDescent="0.3">
      <c r="A22" s="8"/>
      <c r="B22" s="9"/>
      <c r="C22" s="9"/>
      <c r="D22" s="9"/>
      <c r="E22" s="9"/>
      <c r="F22" s="9"/>
      <c r="G22" s="9" t="s">
        <v>16</v>
      </c>
      <c r="H22" s="9" t="s">
        <v>51</v>
      </c>
      <c r="I22" s="9" t="s">
        <v>52</v>
      </c>
      <c r="J22" s="9" t="s">
        <v>53</v>
      </c>
      <c r="K22" s="9" t="s">
        <v>54</v>
      </c>
      <c r="L22" s="24"/>
      <c r="M22" s="24"/>
      <c r="N22" s="24"/>
    </row>
    <row r="23" spans="1:16" s="2" customFormat="1" x14ac:dyDescent="0.3">
      <c r="A23"/>
      <c r="B23"/>
      <c r="C23"/>
      <c r="D23"/>
      <c r="E23"/>
      <c r="F23"/>
      <c r="G23" t="s">
        <v>17</v>
      </c>
      <c r="H23" s="5">
        <f>IF(B4=0,"",POWER($K4/B4,1/10)-1)</f>
        <v>7.7794598770348777E-2</v>
      </c>
      <c r="I23" s="5">
        <f>IF(D4=0,"",POWER($K4/D4,1/7)-1)</f>
        <v>8.1668420106524087E-2</v>
      </c>
      <c r="J23" s="5">
        <f>IF(F4=0,"",POWER($K4/F4,1/5)-1)</f>
        <v>7.8319387142060215E-2</v>
      </c>
      <c r="K23" s="5">
        <f>IF(H4=0,"",POWER($K4/H4, 1/3)-1)</f>
        <v>5.5198566358045209E-2</v>
      </c>
      <c r="L23" s="5"/>
      <c r="M23" s="25"/>
      <c r="N23" s="25"/>
    </row>
    <row r="24" spans="1:16" x14ac:dyDescent="0.3">
      <c r="G24" t="s">
        <v>15</v>
      </c>
      <c r="H24" s="5">
        <f>IF(SUM(B4:$K$4)=0,"",SUMPRODUCT(B19:$K$19,B4:$K$4)/SUM(B4:$K$4))</f>
        <v>0.17082121675452641</v>
      </c>
      <c r="I24" s="5">
        <f>IF(SUM(E4:$K$4)=0,"",SUMPRODUCT(E19:$K$19,E4:$K$4)/SUM(E4:$K$4))</f>
        <v>0.17647460201916743</v>
      </c>
      <c r="J24" s="5">
        <f>IF(SUM(G4:$K$4)=0,"",SUMPRODUCT(G19:$K$19,G4:$K$4)/SUM(G4:$K$4))</f>
        <v>0.17662585939748285</v>
      </c>
      <c r="K24" s="5">
        <f>IF(SUM(I4:$K$4)=0, "", SUMPRODUCT(I19:$K$19,I4:$K$4)/SUM(I4:$K$4))</f>
        <v>0.18300694365928111</v>
      </c>
      <c r="L24" s="5"/>
      <c r="M24" s="25"/>
      <c r="N24" s="25"/>
    </row>
    <row r="25" spans="1:16" x14ac:dyDescent="0.3">
      <c r="G25" t="s">
        <v>18</v>
      </c>
      <c r="H25" s="6">
        <f>IF(ISERROR(AVERAGEIF(B14:$L14,"&gt;0")),"",AVERAGEIF(B14:$L14,"&gt;0"))</f>
        <v>51.906614255525724</v>
      </c>
      <c r="I25" s="6">
        <f>IF(ISERROR(AVERAGEIF(E14:$L14,"&gt;0")),"",AVERAGEIF(E14:$L14,"&gt;0"))</f>
        <v>49.986088257259347</v>
      </c>
      <c r="J25" s="6">
        <f>IF(ISERROR(AVERAGEIF(G14:$L14,"&gt;0")),"",AVERAGEIF(G14:$L14,"&gt;0"))</f>
        <v>51.388980948849486</v>
      </c>
      <c r="K25" s="6">
        <f>IF(ISERROR(AVERAGEIF(I14:$L14,"&gt;0")),"",AVERAGEIF(I14:$L14,"&gt;0"))</f>
        <v>53.814322046754803</v>
      </c>
      <c r="L25" s="20"/>
      <c r="M25" s="21"/>
      <c r="N25" s="21"/>
    </row>
    <row r="33" spans="8:8" x14ac:dyDescent="0.3">
      <c r="H33" s="18">
        <f>(K4/E4)^(1/7)-1</f>
        <v>7.4259243336941561E-2</v>
      </c>
    </row>
    <row r="34" spans="8:8" x14ac:dyDescent="0.3">
      <c r="H34" s="18">
        <f t="shared" ref="H34" si="8">(K5/E5)^(1/7)-1</f>
        <v>6.971342269992209E-2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P24"/>
  <sheetViews>
    <sheetView zoomScale="97" zoomScaleNormal="58" workbookViewId="0">
      <pane xSplit="1" topLeftCell="B1" activePane="topRight" state="frozen"/>
      <selection activeCell="A2" sqref="A2"/>
      <selection pane="topRight" activeCell="H19" sqref="H19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2" width="15.44140625" customWidth="1"/>
    <col min="13" max="14" width="15.88671875" customWidth="1"/>
    <col min="15" max="15" width="15.21875" customWidth="1"/>
    <col min="16" max="16" width="16.33203125" customWidth="1"/>
  </cols>
  <sheetData>
    <row r="1" spans="1:16" s="2" customFormat="1" x14ac:dyDescent="0.3">
      <c r="A1" s="2" t="str">
        <f>'Profit &amp; Loss'!A1</f>
        <v>BRITANNIA INDUSTRIES LTD</v>
      </c>
      <c r="E1" t="str">
        <f>UPDATE</f>
        <v/>
      </c>
      <c r="G1"/>
      <c r="J1" s="2" t="s">
        <v>1</v>
      </c>
    </row>
    <row r="2" spans="1:16" x14ac:dyDescent="0.3">
      <c r="G2" s="2"/>
      <c r="H2" s="2"/>
    </row>
    <row r="3" spans="1:16" x14ac:dyDescent="0.3">
      <c r="A3" s="8" t="s">
        <v>2</v>
      </c>
      <c r="B3" s="9">
        <f>'Data Sheet'!B56</f>
        <v>42825</v>
      </c>
      <c r="C3" s="9">
        <f>'Data Sheet'!C56</f>
        <v>43190</v>
      </c>
      <c r="D3" s="9">
        <f>'Data Sheet'!D56</f>
        <v>43555</v>
      </c>
      <c r="E3" s="9">
        <f>'Data Sheet'!E56</f>
        <v>43921</v>
      </c>
      <c r="F3" s="9">
        <f>'Data Sheet'!F56</f>
        <v>44286</v>
      </c>
      <c r="G3" s="9">
        <f>'Data Sheet'!G56</f>
        <v>44651</v>
      </c>
      <c r="H3" s="9">
        <f>'Data Sheet'!H56</f>
        <v>45016</v>
      </c>
      <c r="I3" s="9">
        <f>'Data Sheet'!I56</f>
        <v>45382</v>
      </c>
      <c r="J3" s="9">
        <f>'Data Sheet'!J56</f>
        <v>45747</v>
      </c>
      <c r="K3" s="9">
        <f>'Data Sheet'!K56</f>
        <v>46112</v>
      </c>
      <c r="L3" s="19">
        <v>46447</v>
      </c>
      <c r="M3" s="19">
        <v>46813</v>
      </c>
      <c r="N3" s="19">
        <v>47178</v>
      </c>
      <c r="O3" s="19">
        <v>47543</v>
      </c>
      <c r="P3" s="19">
        <v>47908</v>
      </c>
    </row>
    <row r="4" spans="1:16" x14ac:dyDescent="0.3">
      <c r="A4" t="s">
        <v>19</v>
      </c>
      <c r="B4" s="10">
        <f>'Data Sheet'!B57</f>
        <v>24</v>
      </c>
      <c r="C4" s="10">
        <f>'Data Sheet'!C57</f>
        <v>24.01</v>
      </c>
      <c r="D4" s="10">
        <f>'Data Sheet'!D57</f>
        <v>24.03</v>
      </c>
      <c r="E4" s="10">
        <f>'Data Sheet'!E57</f>
        <v>24.05</v>
      </c>
      <c r="F4" s="10">
        <f>'Data Sheet'!F57</f>
        <v>24.09</v>
      </c>
      <c r="G4" s="10">
        <f>'Data Sheet'!G57</f>
        <v>24.09</v>
      </c>
      <c r="H4" s="10">
        <f>'Data Sheet'!H57</f>
        <v>24.09</v>
      </c>
      <c r="I4" s="10">
        <f>'Data Sheet'!I57</f>
        <v>24.09</v>
      </c>
      <c r="J4" s="10">
        <f>'Data Sheet'!J57</f>
        <v>24.09</v>
      </c>
      <c r="K4" s="10">
        <f>'Data Sheet'!K57</f>
        <v>24.09</v>
      </c>
      <c r="L4">
        <v>24</v>
      </c>
      <c r="M4">
        <v>24</v>
      </c>
      <c r="N4">
        <v>24</v>
      </c>
      <c r="O4">
        <v>24</v>
      </c>
      <c r="P4">
        <v>24</v>
      </c>
    </row>
    <row r="5" spans="1:16" x14ac:dyDescent="0.3">
      <c r="A5" t="s">
        <v>20</v>
      </c>
      <c r="B5" s="10">
        <f>'Data Sheet'!B58</f>
        <v>2672.42</v>
      </c>
      <c r="C5" s="10">
        <f>'Data Sheet'!C58</f>
        <v>3382.22</v>
      </c>
      <c r="D5" s="10">
        <f>'Data Sheet'!D58</f>
        <v>4229.22</v>
      </c>
      <c r="E5" s="10">
        <f>'Data Sheet'!E58</f>
        <v>4378.78</v>
      </c>
      <c r="F5" s="10">
        <f>'Data Sheet'!F58</f>
        <v>3523.57</v>
      </c>
      <c r="G5" s="10">
        <f>'Data Sheet'!G58</f>
        <v>2534.0100000000002</v>
      </c>
      <c r="H5" s="10">
        <f>'Data Sheet'!H58</f>
        <v>3510.18</v>
      </c>
      <c r="I5" s="10">
        <f>'Data Sheet'!I58</f>
        <v>3917.43</v>
      </c>
      <c r="J5" s="10">
        <f>'Data Sheet'!J58</f>
        <v>4331.63</v>
      </c>
      <c r="K5" s="10">
        <f>'Data Sheet'!K58</f>
        <v>5082.47</v>
      </c>
      <c r="L5" s="27">
        <f>K5+'Profit &amp; Loss'!L12*(1-assumption!$B$8)</f>
        <v>5540.5922819896878</v>
      </c>
      <c r="M5" s="27">
        <f>L5+'Profit &amp; Loss'!M12*(1-assumption!$B$8)</f>
        <v>6030.7346760647333</v>
      </c>
      <c r="N5" s="27">
        <f>M5+'Profit &amp; Loss'!N12*(1-assumption!$B$8)</f>
        <v>6555.8084503714708</v>
      </c>
      <c r="O5" s="27">
        <f>N5+'Profit &amp; Loss'!O12*(1-assumption!$B$8)</f>
        <v>7117.7087529079236</v>
      </c>
      <c r="P5" s="27">
        <f>O5+'Profit &amp; Loss'!P12*(1-assumption!$B$8)</f>
        <v>7719.6864670476125</v>
      </c>
    </row>
    <row r="6" spans="1:16" x14ac:dyDescent="0.3">
      <c r="A6" t="s">
        <v>56</v>
      </c>
      <c r="B6" s="10">
        <f>'Data Sheet'!B59</f>
        <v>124.56</v>
      </c>
      <c r="C6" s="10">
        <f>'Data Sheet'!C59</f>
        <v>200.7</v>
      </c>
      <c r="D6" s="10">
        <f>'Data Sheet'!D59</f>
        <v>156.02000000000001</v>
      </c>
      <c r="E6" s="10">
        <f>'Data Sheet'!E59</f>
        <v>1537.59</v>
      </c>
      <c r="F6" s="10">
        <f>'Data Sheet'!F59</f>
        <v>2106.94</v>
      </c>
      <c r="G6" s="10">
        <f>'Data Sheet'!G59</f>
        <v>2481.1999999999998</v>
      </c>
      <c r="H6" s="10">
        <f>'Data Sheet'!H59</f>
        <v>2997.37</v>
      </c>
      <c r="I6" s="10">
        <f>'Data Sheet'!I59</f>
        <v>2064.96</v>
      </c>
      <c r="J6" s="10">
        <f>'Data Sheet'!J59</f>
        <v>1246.51</v>
      </c>
      <c r="K6" s="10">
        <f>'Data Sheet'!K59</f>
        <v>1380.28</v>
      </c>
      <c r="L6" s="27">
        <f>K6</f>
        <v>1380.28</v>
      </c>
      <c r="M6" s="27">
        <f t="shared" ref="M6:P6" si="0">L6</f>
        <v>1380.28</v>
      </c>
      <c r="N6" s="27">
        <f t="shared" si="0"/>
        <v>1380.28</v>
      </c>
      <c r="O6" s="27">
        <f t="shared" si="0"/>
        <v>1380.28</v>
      </c>
      <c r="P6" s="27">
        <f t="shared" si="0"/>
        <v>1380.28</v>
      </c>
    </row>
    <row r="7" spans="1:16" x14ac:dyDescent="0.3">
      <c r="A7" t="s">
        <v>57</v>
      </c>
      <c r="B7" s="10">
        <f>'Data Sheet'!B60</f>
        <v>1287.82</v>
      </c>
      <c r="C7" s="10">
        <f>'Data Sheet'!C60</f>
        <v>1580.99</v>
      </c>
      <c r="D7" s="10">
        <f>'Data Sheet'!D60</f>
        <v>1828.68</v>
      </c>
      <c r="E7" s="10">
        <f>'Data Sheet'!E60</f>
        <v>1889.12</v>
      </c>
      <c r="F7" s="10">
        <f>'Data Sheet'!F60</f>
        <v>2345.4899999999998</v>
      </c>
      <c r="G7" s="10">
        <f>'Data Sheet'!G60</f>
        <v>2487.3000000000002</v>
      </c>
      <c r="H7" s="10">
        <f>'Data Sheet'!H60</f>
        <v>2819.21</v>
      </c>
      <c r="I7" s="10">
        <f>'Data Sheet'!I60</f>
        <v>3065.02</v>
      </c>
      <c r="J7" s="10">
        <f>'Data Sheet'!J60</f>
        <v>3234.52</v>
      </c>
      <c r="K7" s="10">
        <f>'Data Sheet'!K60</f>
        <v>3243.48</v>
      </c>
      <c r="L7" s="27">
        <f>K7</f>
        <v>3243.48</v>
      </c>
      <c r="M7" s="27">
        <f t="shared" ref="M7:P7" si="1">L7</f>
        <v>3243.48</v>
      </c>
      <c r="N7" s="27">
        <f t="shared" si="1"/>
        <v>3243.48</v>
      </c>
      <c r="O7" s="27">
        <f t="shared" si="1"/>
        <v>3243.48</v>
      </c>
      <c r="P7" s="27">
        <f t="shared" si="1"/>
        <v>3243.48</v>
      </c>
    </row>
    <row r="8" spans="1:16" s="2" customFormat="1" x14ac:dyDescent="0.3">
      <c r="A8" s="2" t="s">
        <v>21</v>
      </c>
      <c r="B8" s="11">
        <f>'Data Sheet'!B61</f>
        <v>4108.8</v>
      </c>
      <c r="C8" s="11">
        <f>'Data Sheet'!C61</f>
        <v>5187.92</v>
      </c>
      <c r="D8" s="11">
        <f>'Data Sheet'!D61</f>
        <v>6237.95</v>
      </c>
      <c r="E8" s="11">
        <f>'Data Sheet'!E61</f>
        <v>7829.54</v>
      </c>
      <c r="F8" s="11">
        <f>'Data Sheet'!F61</f>
        <v>8000.09</v>
      </c>
      <c r="G8" s="11">
        <f>'Data Sheet'!G61</f>
        <v>7526.6</v>
      </c>
      <c r="H8" s="11">
        <f>'Data Sheet'!H61</f>
        <v>9350.85</v>
      </c>
      <c r="I8" s="11">
        <f>'Data Sheet'!I61</f>
        <v>9071.5</v>
      </c>
      <c r="J8" s="11">
        <f>'Data Sheet'!J61</f>
        <v>8836.75</v>
      </c>
      <c r="K8" s="11">
        <f>'Data Sheet'!K61</f>
        <v>9730.32</v>
      </c>
      <c r="L8" s="28">
        <f>SUM(L4:L7)</f>
        <v>10188.352281989688</v>
      </c>
      <c r="M8" s="28">
        <f t="shared" ref="M8:P8" si="2">SUM(M4:M7)</f>
        <v>10678.494676064733</v>
      </c>
      <c r="N8" s="28">
        <f t="shared" si="2"/>
        <v>11203.568450371471</v>
      </c>
      <c r="O8" s="28">
        <f t="shared" si="2"/>
        <v>11765.468752907924</v>
      </c>
      <c r="P8" s="28">
        <f t="shared" si="2"/>
        <v>12367.446467047612</v>
      </c>
    </row>
    <row r="9" spans="1:16" s="2" customFormat="1" x14ac:dyDescent="0.3"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6" x14ac:dyDescent="0.3">
      <c r="A10" t="s">
        <v>22</v>
      </c>
      <c r="B10" s="10">
        <f>'Data Sheet'!B62</f>
        <v>1159.99</v>
      </c>
      <c r="C10" s="10">
        <f>'Data Sheet'!C62</f>
        <v>1345.6</v>
      </c>
      <c r="D10" s="10">
        <f>'Data Sheet'!D62</f>
        <v>1688.3</v>
      </c>
      <c r="E10" s="10">
        <f>'Data Sheet'!E62</f>
        <v>1878.18</v>
      </c>
      <c r="F10" s="10">
        <f>'Data Sheet'!F62</f>
        <v>1792.95</v>
      </c>
      <c r="G10" s="10">
        <f>'Data Sheet'!G62</f>
        <v>1753.21</v>
      </c>
      <c r="H10" s="10">
        <f>'Data Sheet'!H62</f>
        <v>2655.22</v>
      </c>
      <c r="I10" s="10">
        <f>'Data Sheet'!I62</f>
        <v>2771.14</v>
      </c>
      <c r="J10" s="10">
        <f>'Data Sheet'!J62</f>
        <v>2903.8</v>
      </c>
      <c r="K10" s="10">
        <f>'Data Sheet'!K62</f>
        <v>2849.92</v>
      </c>
      <c r="L10" s="27">
        <f>K10+'Profit &amp; Loss'!L4*assumption!$B$5-'Profit &amp; Loss'!L8</f>
        <v>3149.3475774629801</v>
      </c>
      <c r="M10" s="27">
        <f>L10+'Profit &amp; Loss'!M4*assumption!$B$5-'Profit &amp; Loss'!M8</f>
        <v>3461.6719049410226</v>
      </c>
      <c r="N10" s="27">
        <f>M10+'Profit &amp; Loss'!N4*assumption!$B$5-'Profit &amp; Loss'!N8</f>
        <v>3788.8779220171227</v>
      </c>
      <c r="O10" s="27">
        <f>N10+'Profit &amp; Loss'!O4*assumption!$B$5-'Profit &amp; Loss'!O8</f>
        <v>4132.9849723503867</v>
      </c>
      <c r="P10" s="27">
        <f>O10+'Profit &amp; Loss'!P4*assumption!$B$5-'Profit &amp; Loss'!P8</f>
        <v>4496.0617880605878</v>
      </c>
    </row>
    <row r="11" spans="1:16" x14ac:dyDescent="0.3">
      <c r="A11" t="s">
        <v>23</v>
      </c>
      <c r="B11" s="10">
        <f>'Data Sheet'!B63</f>
        <v>30.07</v>
      </c>
      <c r="C11" s="10">
        <f>'Data Sheet'!C63</f>
        <v>202.82</v>
      </c>
      <c r="D11" s="10">
        <f>'Data Sheet'!D63</f>
        <v>101.24</v>
      </c>
      <c r="E11" s="10">
        <f>'Data Sheet'!E63</f>
        <v>39.549999999999997</v>
      </c>
      <c r="F11" s="10">
        <f>'Data Sheet'!F63</f>
        <v>116.52</v>
      </c>
      <c r="G11" s="10">
        <f>'Data Sheet'!G63</f>
        <v>535.67999999999995</v>
      </c>
      <c r="H11" s="10">
        <f>'Data Sheet'!H63</f>
        <v>105</v>
      </c>
      <c r="I11" s="10">
        <f>'Data Sheet'!I63</f>
        <v>187.54</v>
      </c>
      <c r="J11" s="10">
        <f>'Data Sheet'!J63</f>
        <v>89.2</v>
      </c>
      <c r="K11" s="10">
        <f>'Data Sheet'!K63</f>
        <v>39.04</v>
      </c>
      <c r="L11" s="27">
        <f>K11</f>
        <v>39.04</v>
      </c>
      <c r="M11" s="27">
        <f t="shared" ref="M11:P11" si="3">L11</f>
        <v>39.04</v>
      </c>
      <c r="N11" s="27">
        <f t="shared" si="3"/>
        <v>39.04</v>
      </c>
      <c r="O11" s="27">
        <f t="shared" si="3"/>
        <v>39.04</v>
      </c>
      <c r="P11" s="27">
        <f t="shared" si="3"/>
        <v>39.04</v>
      </c>
    </row>
    <row r="12" spans="1:16" x14ac:dyDescent="0.3">
      <c r="A12" t="s">
        <v>24</v>
      </c>
      <c r="B12" s="10">
        <f>'Data Sheet'!B64</f>
        <v>486.85</v>
      </c>
      <c r="C12" s="10">
        <f>'Data Sheet'!C64</f>
        <v>1079.28</v>
      </c>
      <c r="D12" s="10">
        <f>'Data Sheet'!D64</f>
        <v>1476.28</v>
      </c>
      <c r="E12" s="10">
        <f>'Data Sheet'!E64</f>
        <v>2893.23</v>
      </c>
      <c r="F12" s="10">
        <f>'Data Sheet'!F64</f>
        <v>2780.69</v>
      </c>
      <c r="G12" s="10">
        <f>'Data Sheet'!G64</f>
        <v>1762.37</v>
      </c>
      <c r="H12" s="10">
        <f>'Data Sheet'!H64</f>
        <v>3324.24</v>
      </c>
      <c r="I12" s="10">
        <f>'Data Sheet'!I64</f>
        <v>2766.72</v>
      </c>
      <c r="J12" s="10">
        <f>'Data Sheet'!J64</f>
        <v>2865.43</v>
      </c>
      <c r="K12" s="10">
        <f>'Data Sheet'!K64</f>
        <v>3609.76</v>
      </c>
      <c r="L12" s="27">
        <f>K12</f>
        <v>3609.76</v>
      </c>
      <c r="M12" s="27">
        <f t="shared" ref="M12:P12" si="4">L12</f>
        <v>3609.76</v>
      </c>
      <c r="N12" s="27">
        <f t="shared" si="4"/>
        <v>3609.76</v>
      </c>
      <c r="O12" s="27">
        <f t="shared" si="4"/>
        <v>3609.76</v>
      </c>
      <c r="P12" s="27">
        <f t="shared" si="4"/>
        <v>3609.76</v>
      </c>
    </row>
    <row r="13" spans="1:16" x14ac:dyDescent="0.3">
      <c r="A13" t="s">
        <v>58</v>
      </c>
      <c r="B13" s="10">
        <f>'Data Sheet'!B65</f>
        <v>2431.89</v>
      </c>
      <c r="C13" s="10">
        <f>'Data Sheet'!C65</f>
        <v>2560.2199999999998</v>
      </c>
      <c r="D13" s="10">
        <f>'Data Sheet'!D65</f>
        <v>2972.13</v>
      </c>
      <c r="E13" s="10">
        <f>'Data Sheet'!E65</f>
        <v>3018.58</v>
      </c>
      <c r="F13" s="10">
        <f>'Data Sheet'!F65</f>
        <v>3309.93</v>
      </c>
      <c r="G13" s="10">
        <f>'Data Sheet'!G65</f>
        <v>3475.34</v>
      </c>
      <c r="H13" s="10">
        <f>'Data Sheet'!H65</f>
        <v>3266.39</v>
      </c>
      <c r="I13" s="10">
        <f>'Data Sheet'!I65</f>
        <v>3346.1</v>
      </c>
      <c r="J13" s="10">
        <f>'Data Sheet'!J65</f>
        <v>2978.32</v>
      </c>
      <c r="K13" s="10">
        <f>'Data Sheet'!K65</f>
        <v>3231.6</v>
      </c>
      <c r="L13" s="27">
        <f>L8-L10-L11-L12</f>
        <v>3390.2047045267072</v>
      </c>
      <c r="M13" s="27">
        <f t="shared" ref="M13:P13" si="5">M8-M10-M11-M12</f>
        <v>3568.0227711237103</v>
      </c>
      <c r="N13" s="27">
        <f t="shared" si="5"/>
        <v>3765.8905283543481</v>
      </c>
      <c r="O13" s="27">
        <f t="shared" si="5"/>
        <v>3983.6837805575369</v>
      </c>
      <c r="P13" s="27">
        <f t="shared" si="5"/>
        <v>4222.5846789870238</v>
      </c>
    </row>
    <row r="14" spans="1:16" s="2" customFormat="1" x14ac:dyDescent="0.3">
      <c r="A14" s="2" t="s">
        <v>21</v>
      </c>
      <c r="B14" s="10">
        <f>'Data Sheet'!B66</f>
        <v>4108.8</v>
      </c>
      <c r="C14" s="10">
        <f>'Data Sheet'!C66</f>
        <v>5187.92</v>
      </c>
      <c r="D14" s="10">
        <f>'Data Sheet'!D66</f>
        <v>6237.95</v>
      </c>
      <c r="E14" s="10">
        <f>'Data Sheet'!E66</f>
        <v>7829.54</v>
      </c>
      <c r="F14" s="10">
        <f>'Data Sheet'!F66</f>
        <v>8000.09</v>
      </c>
      <c r="G14" s="10">
        <f>'Data Sheet'!G66</f>
        <v>7526.6</v>
      </c>
      <c r="H14" s="10">
        <f>'Data Sheet'!H66</f>
        <v>9350.85</v>
      </c>
      <c r="I14" s="10">
        <f>'Data Sheet'!I66</f>
        <v>9071.5</v>
      </c>
      <c r="J14" s="10">
        <f>'Data Sheet'!J66</f>
        <v>8836.75</v>
      </c>
      <c r="K14" s="10">
        <f>'Data Sheet'!K66</f>
        <v>9730.32</v>
      </c>
      <c r="L14" s="29">
        <f>SUM(L10:L13)</f>
        <v>10188.352281989686</v>
      </c>
      <c r="M14" s="29">
        <f t="shared" ref="M14:P14" si="6">SUM(M10:M13)</f>
        <v>10678.494676064733</v>
      </c>
      <c r="N14" s="29">
        <f t="shared" si="6"/>
        <v>11203.568450371471</v>
      </c>
      <c r="O14" s="29">
        <f t="shared" si="6"/>
        <v>11765.468752907924</v>
      </c>
      <c r="P14" s="29">
        <f t="shared" si="6"/>
        <v>12367.446467047612</v>
      </c>
    </row>
    <row r="15" spans="1:16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6" x14ac:dyDescent="0.3">
      <c r="A16" t="s">
        <v>25</v>
      </c>
      <c r="B16" s="4">
        <f>B13-B7</f>
        <v>1144.07</v>
      </c>
      <c r="C16" s="4">
        <f t="shared" ref="C16:P16" si="7">C13-C7</f>
        <v>979.22999999999979</v>
      </c>
      <c r="D16" s="4">
        <f t="shared" si="7"/>
        <v>1143.45</v>
      </c>
      <c r="E16" s="4">
        <f t="shared" si="7"/>
        <v>1129.46</v>
      </c>
      <c r="F16" s="4">
        <f t="shared" si="7"/>
        <v>964.44</v>
      </c>
      <c r="G16" s="4">
        <f t="shared" si="7"/>
        <v>988.04</v>
      </c>
      <c r="H16" s="4">
        <f t="shared" si="7"/>
        <v>447.17999999999984</v>
      </c>
      <c r="I16" s="4">
        <f t="shared" si="7"/>
        <v>281.07999999999993</v>
      </c>
      <c r="J16" s="4">
        <f t="shared" si="7"/>
        <v>-256.19999999999982</v>
      </c>
      <c r="K16" s="4">
        <f t="shared" si="7"/>
        <v>-11.880000000000109</v>
      </c>
      <c r="L16" s="4">
        <f t="shared" si="7"/>
        <v>146.72470452670723</v>
      </c>
      <c r="M16" s="4">
        <f t="shared" si="7"/>
        <v>324.54277112371028</v>
      </c>
      <c r="N16" s="4">
        <f t="shared" si="7"/>
        <v>522.41052835434812</v>
      </c>
      <c r="O16" s="4">
        <f t="shared" si="7"/>
        <v>740.2037805575369</v>
      </c>
      <c r="P16" s="4">
        <f t="shared" si="7"/>
        <v>979.10467898702382</v>
      </c>
    </row>
    <row r="17" spans="1:16" x14ac:dyDescent="0.3">
      <c r="A17" t="s">
        <v>39</v>
      </c>
      <c r="B17" s="4">
        <f>'Data Sheet'!B67</f>
        <v>179.16</v>
      </c>
      <c r="C17" s="4">
        <f>'Data Sheet'!C67</f>
        <v>304.60000000000002</v>
      </c>
      <c r="D17" s="4">
        <f>'Data Sheet'!D67</f>
        <v>394.24</v>
      </c>
      <c r="E17" s="4">
        <f>'Data Sheet'!E67</f>
        <v>320.36</v>
      </c>
      <c r="F17" s="4">
        <f>'Data Sheet'!F67</f>
        <v>257.27</v>
      </c>
      <c r="G17" s="4">
        <f>'Data Sheet'!G67</f>
        <v>331.93</v>
      </c>
      <c r="H17" s="4">
        <f>'Data Sheet'!H67</f>
        <v>328.94</v>
      </c>
      <c r="I17" s="4">
        <f>'Data Sheet'!I67</f>
        <v>393.33</v>
      </c>
      <c r="J17" s="4">
        <f>'Data Sheet'!J67</f>
        <v>448.61</v>
      </c>
      <c r="K17" s="4">
        <f>'Data Sheet'!K67</f>
        <v>469.21</v>
      </c>
      <c r="L17" s="27">
        <f>AVERAGE(I17:K17)</f>
        <v>437.05</v>
      </c>
      <c r="M17" s="27">
        <f t="shared" ref="M17:P17" si="8">AVERAGE(J17:L17)</f>
        <v>451.62333333333328</v>
      </c>
      <c r="N17" s="27">
        <f t="shared" si="8"/>
        <v>452.62777777777774</v>
      </c>
      <c r="O17" s="27">
        <f t="shared" si="8"/>
        <v>447.10037037037029</v>
      </c>
      <c r="P17" s="27">
        <f t="shared" si="8"/>
        <v>450.45049382716041</v>
      </c>
    </row>
    <row r="18" spans="1:16" x14ac:dyDescent="0.3">
      <c r="A18" t="s">
        <v>40</v>
      </c>
      <c r="B18" s="4">
        <f>'Data Sheet'!B68</f>
        <v>661.45</v>
      </c>
      <c r="C18" s="4">
        <f>'Data Sheet'!C68</f>
        <v>652.79</v>
      </c>
      <c r="D18" s="4">
        <f>'Data Sheet'!D68</f>
        <v>781.38</v>
      </c>
      <c r="E18" s="4">
        <f>'Data Sheet'!E68</f>
        <v>740.96</v>
      </c>
      <c r="F18" s="4">
        <f>'Data Sheet'!F68</f>
        <v>1091.49</v>
      </c>
      <c r="G18" s="4">
        <f>'Data Sheet'!G68</f>
        <v>1367.49</v>
      </c>
      <c r="H18" s="4">
        <f>'Data Sheet'!H68</f>
        <v>1193.26</v>
      </c>
      <c r="I18" s="4">
        <f>'Data Sheet'!I68</f>
        <v>1181.22</v>
      </c>
      <c r="J18" s="4">
        <f>'Data Sheet'!J68</f>
        <v>1236.51</v>
      </c>
      <c r="K18" s="4">
        <f>'Data Sheet'!K68</f>
        <v>1345.93</v>
      </c>
      <c r="L18" s="27">
        <f>AVERAGE(I18:K18)</f>
        <v>1254.5533333333333</v>
      </c>
      <c r="M18" s="27">
        <f t="shared" ref="M18:P18" si="9">AVERAGE(J18:L18)</f>
        <v>1278.9977777777779</v>
      </c>
      <c r="N18" s="27">
        <f t="shared" si="9"/>
        <v>1293.1603703703704</v>
      </c>
      <c r="O18" s="27">
        <f t="shared" si="9"/>
        <v>1275.5704938271604</v>
      </c>
      <c r="P18" s="27">
        <f t="shared" si="9"/>
        <v>1282.5762139917695</v>
      </c>
    </row>
    <row r="20" spans="1:16" x14ac:dyDescent="0.3">
      <c r="A20" t="s">
        <v>41</v>
      </c>
      <c r="B20" s="4">
        <f>IF('Profit &amp; Loss'!B4&gt;0,'Balance Sheet'!B17/('Profit &amp; Loss'!B4/365),0)</f>
        <v>7.2225259523596517</v>
      </c>
      <c r="C20" s="4">
        <f>IF('Profit &amp; Loss'!C4&gt;0,'Balance Sheet'!C17/('Profit &amp; Loss'!C4/365),0)</f>
        <v>11.2143546644691</v>
      </c>
      <c r="D20" s="4">
        <f>IF('Profit &amp; Loss'!D4&gt;0,'Balance Sheet'!D17/('Profit &amp; Loss'!D4/365),0)</f>
        <v>13.016905977292854</v>
      </c>
      <c r="E20" s="4">
        <f>IF('Profit &amp; Loss'!E4&gt;0,'Balance Sheet'!E17/('Profit &amp; Loss'!E4/365),0)</f>
        <v>10.080684164471899</v>
      </c>
      <c r="F20" s="4">
        <f>IF('Profit &amp; Loss'!F4&gt;0,'Balance Sheet'!F17/('Profit &amp; Loss'!F4/365),0)</f>
        <v>7.1484888254845034</v>
      </c>
      <c r="G20" s="4">
        <f>IF('Profit &amp; Loss'!G4&gt;0,'Balance Sheet'!G17/('Profit &amp; Loss'!G4/365),0)</f>
        <v>8.5704740857907247</v>
      </c>
      <c r="H20" s="4">
        <f>IF('Profit &amp; Loss'!H4&gt;0,'Balance Sheet'!H17/('Profit &amp; Loss'!H4/365),0)</f>
        <v>7.3655858237912222</v>
      </c>
      <c r="I20" s="4">
        <f>IF('Profit &amp; Loss'!I4&gt;0,'Balance Sheet'!I17/('Profit &amp; Loss'!I4/365),0)</f>
        <v>8.5612224026448374</v>
      </c>
      <c r="J20" s="4">
        <f>IF('Profit &amp; Loss'!J4&gt;0,'Balance Sheet'!J17/('Profit &amp; Loss'!J4/365),0)</f>
        <v>9.1258798161031791</v>
      </c>
      <c r="K20" s="4">
        <f>IF('Profit &amp; Loss'!K4&gt;0,'Balance Sheet'!K17/('Profit &amp; Loss'!K4/365),0)</f>
        <v>8.9424246237518652</v>
      </c>
      <c r="L20" s="4">
        <f>IF('Profit &amp; Loss'!L4&gt;0,'Balance Sheet'!L17/('Profit &amp; Loss'!L4/365),0)</f>
        <v>7.7537189333373266</v>
      </c>
      <c r="M20" s="4">
        <f>IF('Profit &amp; Loss'!M4&gt;0,'Balance Sheet'!M17/('Profit &amp; Loss'!M4/365),0)</f>
        <v>7.4584091186380954</v>
      </c>
      <c r="N20" s="4">
        <f>IF('Profit &amp; Loss'!N4&gt;0,'Balance Sheet'!N17/('Profit &amp; Loss'!N4/365),0)</f>
        <v>6.9582805369147307</v>
      </c>
      <c r="O20" s="4">
        <f>IF('Profit &amp; Loss'!O4&gt;0,'Balance Sheet'!O17/('Profit &amp; Loss'!O4/365),0)</f>
        <v>6.3981830585329629</v>
      </c>
      <c r="P20" s="4">
        <f>IF('Profit &amp; Loss'!P4&gt;0,'Balance Sheet'!P17/('Profit &amp; Loss'!P4/365),0)</f>
        <v>6.0005298438280592</v>
      </c>
    </row>
    <row r="21" spans="1:16" x14ac:dyDescent="0.3">
      <c r="A21" t="s">
        <v>42</v>
      </c>
      <c r="B21" s="4">
        <f>IF('Balance Sheet'!B18&gt;0,'Profit &amp; Loss'!B4/'Balance Sheet'!B18,0)</f>
        <v>13.688245521203417</v>
      </c>
      <c r="C21" s="4">
        <f>IF('Balance Sheet'!C18&gt;0,'Profit &amp; Loss'!C4/'Balance Sheet'!C18,0)</f>
        <v>15.18710458187166</v>
      </c>
      <c r="D21" s="4">
        <f>IF('Balance Sheet'!D18&gt;0,'Profit &amp; Loss'!D4/'Balance Sheet'!D18,0)</f>
        <v>14.147623435460339</v>
      </c>
      <c r="E21" s="4">
        <f>IF('Balance Sheet'!E18&gt;0,'Profit &amp; Loss'!E4/'Balance Sheet'!E18,0)</f>
        <v>15.654758691427336</v>
      </c>
      <c r="F21" s="4">
        <f>IF('Balance Sheet'!F18&gt;0,'Profit &amp; Loss'!F4/'Balance Sheet'!F18,0)</f>
        <v>12.035053000943664</v>
      </c>
      <c r="G21" s="4">
        <f>IF('Balance Sheet'!G18&gt;0,'Profit &amp; Loss'!G4/'Balance Sheet'!G18,0)</f>
        <v>10.33737723859041</v>
      </c>
      <c r="H21" s="4">
        <f>IF('Balance Sheet'!H18&gt;0,'Profit &amp; Loss'!H4/'Balance Sheet'!H18,0)</f>
        <v>13.660518244137908</v>
      </c>
      <c r="I21" s="4">
        <f>IF('Balance Sheet'!I18&gt;0,'Profit &amp; Loss'!I4/'Balance Sheet'!I18,0)</f>
        <v>14.196567955164999</v>
      </c>
      <c r="J21" s="4">
        <f>IF('Balance Sheet'!J18&gt;0,'Profit &amp; Loss'!J4/'Balance Sheet'!J18,0)</f>
        <v>14.510735861416405</v>
      </c>
      <c r="K21" s="4">
        <f>IF('Balance Sheet'!K18&gt;0,'Profit &amp; Loss'!K4/'Balance Sheet'!K18,0)</f>
        <v>14.229261551492277</v>
      </c>
      <c r="L21" s="4">
        <f>IF('Balance Sheet'!L18&gt;0,'Profit &amp; Loss'!L4/'Balance Sheet'!L18,0)</f>
        <v>16.399280951599774</v>
      </c>
      <c r="M21" s="4">
        <f>IF('Balance Sheet'!M18&gt;0,'Profit &amp; Loss'!M4/'Balance Sheet'!M18,0)</f>
        <v>17.280378238837276</v>
      </c>
      <c r="N21" s="4">
        <f>IF('Balance Sheet'!N18&gt;0,'Profit &amp; Loss'!N4/'Balance Sheet'!N18,0)</f>
        <v>18.360298870371594</v>
      </c>
      <c r="O21" s="4">
        <f>IF('Balance Sheet'!O18&gt;0,'Profit &amp; Loss'!O4/'Balance Sheet'!O18,0)</f>
        <v>19.99570716156828</v>
      </c>
      <c r="P21" s="4">
        <f>IF('Balance Sheet'!P18&gt;0,'Profit &amp; Loss'!P4/'Balance Sheet'!P18,0)</f>
        <v>21.363241516084493</v>
      </c>
    </row>
    <row r="23" spans="1:16" s="2" customFormat="1" x14ac:dyDescent="0.3">
      <c r="A23" s="2" t="s">
        <v>45</v>
      </c>
      <c r="B23" s="7">
        <f>IF(SUM('Balance Sheet'!B4:B5)&gt;0,'Profit &amp; Loss'!B12/SUM('Balance Sheet'!B4:B5),"")</f>
        <v>0.32801640693957174</v>
      </c>
      <c r="C23" s="7">
        <f>IF(SUM('Balance Sheet'!C4:C5)&gt;0,'Profit &amp; Loss'!C12/SUM('Balance Sheet'!C4:C5),"")</f>
        <v>0.29482154757605916</v>
      </c>
      <c r="D23" s="7">
        <f>IF(SUM('Balance Sheet'!D4:D5)&gt;0,'Profit &amp; Loss'!D12/SUM('Balance Sheet'!D4:D5),"")</f>
        <v>0.27252571562922467</v>
      </c>
      <c r="E23" s="7">
        <f>IF(SUM('Balance Sheet'!E4:E5)&gt;0,'Profit &amp; Loss'!E12/SUM('Balance Sheet'!E4:E5),"")</f>
        <v>0.31857464403576791</v>
      </c>
      <c r="F23" s="7">
        <f>IF(SUM('Balance Sheet'!F4:F5)&gt;0,'Profit &amp; Loss'!F12/SUM('Balance Sheet'!F4:F5),"")</f>
        <v>0.52538856598433892</v>
      </c>
      <c r="G23" s="7">
        <f>IF(SUM('Balance Sheet'!G4:G5)&gt;0,'Profit &amp; Loss'!G12/SUM('Balance Sheet'!G4:G5),"")</f>
        <v>0.59607521207145919</v>
      </c>
      <c r="H23" s="7">
        <f>IF(SUM('Balance Sheet'!H4:H5)&gt;0,'Profit &amp; Loss'!H12/SUM('Balance Sheet'!H4:H5),"")</f>
        <v>0.65693056840592257</v>
      </c>
      <c r="I23" s="7">
        <f>IF(SUM('Balance Sheet'!I4:I5)&gt;0,'Profit &amp; Loss'!I12/SUM('Balance Sheet'!I4:I5),"")</f>
        <v>0.54288954515009435</v>
      </c>
      <c r="J23" s="7">
        <f>IF(SUM('Balance Sheet'!J4:J5)&gt;0,'Profit &amp; Loss'!J12/SUM('Balance Sheet'!J4:J5),"")</f>
        <v>0.50019973735685486</v>
      </c>
      <c r="K23" s="7">
        <f>IF(SUM('Balance Sheet'!K4:K5)&gt;0,'Profit &amp; Loss'!K12/SUM('Balance Sheet'!K4:K5),"")</f>
        <v>0.49612459268078696</v>
      </c>
      <c r="L23" s="7">
        <f>IF(SUM('Balance Sheet'!L4:L5)&gt;0,'Profit &amp; Loss'!L12/SUM('Balance Sheet'!L4:L5),"")</f>
        <v>0.48428291172429705</v>
      </c>
      <c r="M23" s="7">
        <f>'Profit &amp; Loss'!M12/SUM('Balance Sheet'!M4:M5)</f>
        <v>0.47618776174954491</v>
      </c>
      <c r="N23" s="7">
        <f>IF(SUM('Balance Sheet'!N4:N5)&gt;0,'Profit &amp; Loss'!N12/SUM('Balance Sheet'!N4:N5),"")</f>
        <v>0.46941628831968385</v>
      </c>
      <c r="O23" s="7">
        <f>IF(SUM('Balance Sheet'!O4:O5)&gt;0,'Profit &amp; Loss'!O12/SUM('Balance Sheet'!O4:O5),"")</f>
        <v>0.46281583464565385</v>
      </c>
      <c r="P23" s="7">
        <f>IF(SUM('Balance Sheet'!P4:P5)&gt;0,'Profit &amp; Loss'!P12/SUM('Balance Sheet'!P4:P5),"")</f>
        <v>0.4572816051322337</v>
      </c>
    </row>
    <row r="24" spans="1:16" s="2" customFormat="1" x14ac:dyDescent="0.3">
      <c r="A24" s="2" t="s">
        <v>46</v>
      </c>
      <c r="B24" s="7"/>
      <c r="C24" s="7">
        <f>IF((B4+B5+B6+C4+C5+C6)&gt;0,('Profit &amp; Loss'!C10+'Profit &amp; Loss'!C9)*2/(B4+B5+B6+C4+C5+C6),"")</f>
        <v>0.47473284473491384</v>
      </c>
      <c r="D24" s="7">
        <f>IF((C4+C5+C6+D4+D5+D6)&gt;0,('Profit &amp; Loss'!D10+'Profit &amp; Loss'!D9)*2/(C4+C5+C6+D4+D5+D6),"")</f>
        <v>0.44335720166662507</v>
      </c>
      <c r="E24" s="7">
        <f>IF((D4+D5+D6+E4+E5+E6)&gt;0,('Profit &amp; Loss'!E10+'Profit &amp; Loss'!E9)*2/(D4+D5+D6+E4+E5+E6),"")</f>
        <v>0.37125749660134749</v>
      </c>
      <c r="F24" s="7">
        <f>IF((E4+E5+E6+F4+F5+F6)&gt;0,('Profit &amp; Loss'!F10+'Profit &amp; Loss'!F9)*2/(E4+E5+E6+F4+F5+F6),"")</f>
        <v>0.45269607124437905</v>
      </c>
      <c r="G24" s="7">
        <f>IF((F4+F5+F6+G4+G5+G6)&gt;0,('Profit &amp; Loss'!G10+'Profit &amp; Loss'!G9)*2/(F4+F5+F6+G4+G5+G6),"")</f>
        <v>0.41567996708403848</v>
      </c>
      <c r="H24" s="7">
        <f>IF((G4+G5+G6+H4+H5+H6)&gt;0,('Profit &amp; Loss'!H10+'Profit &amp; Loss'!H9)*2/(G4+G5+G6+H4+H5+H6),"")</f>
        <v>0.55343299680060565</v>
      </c>
      <c r="I24" s="7">
        <f>IF((H4+H5+H6+I4+I5+I6)&gt;0,('Profit &amp; Loss'!I10+'Profit &amp; Loss'!I9)*2/(H4+H5+H6+I4+I5+I6),"")</f>
        <v>0.49089815698047234</v>
      </c>
      <c r="J24" s="7">
        <f>IF((I4+I5+I6+J4+J5+J6)&gt;0,('Profit &amp; Loss'!J10+'Profit &amp; Loss'!J9)*2/(I4+I5+I6+J4+J5+J6),"")</f>
        <v>0.52811552704822506</v>
      </c>
      <c r="K24" s="7">
        <f>IF((J4+J5+J6+K4+K5+K6)&gt;0,('Profit &amp; Loss'!K10+'Profit &amp; Loss'!K9)*2/(J4+J5+J6+K4+K5+K6),"")</f>
        <v>0.56274634856113825</v>
      </c>
      <c r="L24" s="7">
        <f>IF((K4+K5+K6+L4+L5+L6)&gt;0,('Profit &amp; Loss'!L10+'Profit &amp; Loss'!L9)*2/(K4+K5+K6+L4+L5+L6),"")</f>
        <v>0.54647735431565636</v>
      </c>
      <c r="M24" s="7">
        <f>IF((L4+L5+L6+M4+M5+M6)&gt;0,('Profit &amp; Loss'!M10+'Profit &amp; Loss'!M9)*2/(L4+L5+L6+M4+M5+M6),"")</f>
        <v>0.54491346033455779</v>
      </c>
      <c r="N24" s="7">
        <f>IF((M4+M5+M6+N4+N5+N6)&gt;0,('Profit &amp; Loss'!N10+'Profit &amp; Loss'!N9)*2/(M4+M5+M6+N4+N5+N6),"")</f>
        <v>0.5441033640929791</v>
      </c>
      <c r="O24" s="7">
        <f>IF((N4+N5+N6+O4+O5+O6)&gt;0,('Profit &amp; Loss'!O10+'Profit &amp; Loss'!O9)*2/(N4+N5+N6+O4+O5+O6),"")</f>
        <v>0.54280764419107475</v>
      </c>
      <c r="P24" s="7">
        <f>IF((O4+O5+O6+P4+P5+P6)&gt;0,('Profit &amp; Loss'!P10+'Profit &amp; Loss'!P9)*2/(O4+O5+O6+P4+P5+P6),"")</f>
        <v>0.5421633880006389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P24"/>
  <sheetViews>
    <sheetView zoomScale="102" zoomScaleNormal="102" zoomScalePageLayoutView="150" workbookViewId="0">
      <pane xSplit="1" topLeftCell="D1" activePane="topRight" state="frozen"/>
      <selection pane="topRight" activeCell="L16" sqref="L16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  <col min="12" max="16" width="10.109375" bestFit="1" customWidth="1"/>
  </cols>
  <sheetData>
    <row r="1" spans="1:16" s="2" customFormat="1" x14ac:dyDescent="0.3">
      <c r="A1" s="2" t="str">
        <f>'Balance Sheet'!A1</f>
        <v>BRITANNIA INDUSTRIES LTD</v>
      </c>
      <c r="E1" t="str">
        <f>UPDATE</f>
        <v/>
      </c>
      <c r="F1"/>
      <c r="J1" s="2" t="s">
        <v>1</v>
      </c>
    </row>
    <row r="3" spans="1:16" s="2" customFormat="1" x14ac:dyDescent="0.3">
      <c r="A3" s="8" t="s">
        <v>2</v>
      </c>
      <c r="B3" s="9">
        <f>'Data Sheet'!B81</f>
        <v>42825</v>
      </c>
      <c r="C3" s="9">
        <f>'Data Sheet'!C81</f>
        <v>43190</v>
      </c>
      <c r="D3" s="9">
        <f>'Data Sheet'!D81</f>
        <v>43555</v>
      </c>
      <c r="E3" s="9">
        <f>'Data Sheet'!E81</f>
        <v>43921</v>
      </c>
      <c r="F3" s="9">
        <f>'Data Sheet'!F81</f>
        <v>44286</v>
      </c>
      <c r="G3" s="9">
        <f>'Data Sheet'!G81</f>
        <v>44651</v>
      </c>
      <c r="H3" s="9">
        <f>'Data Sheet'!H81</f>
        <v>45016</v>
      </c>
      <c r="I3" s="9">
        <f>'Data Sheet'!I81</f>
        <v>45382</v>
      </c>
      <c r="J3" s="9">
        <f>'Data Sheet'!J81</f>
        <v>45747</v>
      </c>
      <c r="K3" s="9">
        <f>'Data Sheet'!K81</f>
        <v>46112</v>
      </c>
      <c r="L3" s="19">
        <v>46447</v>
      </c>
      <c r="M3" s="19">
        <v>46813</v>
      </c>
      <c r="N3" s="19">
        <v>47178</v>
      </c>
      <c r="O3" s="19">
        <v>47543</v>
      </c>
      <c r="P3" s="19">
        <v>47908</v>
      </c>
    </row>
    <row r="4" spans="1:16" s="2" customFormat="1" x14ac:dyDescent="0.3">
      <c r="A4" s="2" t="s">
        <v>27</v>
      </c>
      <c r="B4" s="1">
        <f>'Data Sheet'!B82</f>
        <v>441.28</v>
      </c>
      <c r="C4" s="1">
        <f>'Data Sheet'!C82</f>
        <v>1248.77</v>
      </c>
      <c r="D4" s="1">
        <f>'Data Sheet'!D82</f>
        <v>1155.78</v>
      </c>
      <c r="E4" s="1">
        <f>'Data Sheet'!E82</f>
        <v>1484.53</v>
      </c>
      <c r="F4" s="1">
        <f>'Data Sheet'!F82</f>
        <v>1851.07</v>
      </c>
      <c r="G4" s="1">
        <f>'Data Sheet'!G82</f>
        <v>1299.52</v>
      </c>
      <c r="H4" s="1">
        <f>'Data Sheet'!H82</f>
        <v>2526.21</v>
      </c>
      <c r="I4" s="1">
        <f>'Data Sheet'!I82</f>
        <v>2572.98</v>
      </c>
      <c r="J4" s="1">
        <f>'Data Sheet'!J82</f>
        <v>2490.62</v>
      </c>
      <c r="K4" s="1">
        <f>'Data Sheet'!K82</f>
        <v>2611.6</v>
      </c>
      <c r="L4" s="29">
        <f>'Profit &amp; Loss'!L12+'Profit &amp; Loss'!L8+('Balance Sheet'!K16-'Balance Sheet'!L16)</f>
        <v>2854.0178483538093</v>
      </c>
      <c r="M4" s="29">
        <f>'Profit &amp; Loss'!M12+'Profit &amp; Loss'!M8+('Balance Sheet'!L16-'Balance Sheet'!M16)</f>
        <v>3056.0951203065461</v>
      </c>
      <c r="N4" s="29">
        <f>'Profit &amp; Loss'!N12+'Profit &amp; Loss'!N8+('Balance Sheet'!M16-'Balance Sheet'!N16)</f>
        <v>3275.8798129407414</v>
      </c>
      <c r="O4" s="29">
        <f>'Profit &amp; Loss'!O12+'Profit &amp; Loss'!O8+('Balance Sheet'!N16-'Balance Sheet'!O16)</f>
        <v>3508.5736164919467</v>
      </c>
      <c r="P4" s="29">
        <f>'Profit &amp; Loss'!P12+'Profit &amp; Loss'!P8+('Balance Sheet'!O16-'Balance Sheet'!P16)</f>
        <v>3761.067225821344</v>
      </c>
    </row>
    <row r="5" spans="1:16" x14ac:dyDescent="0.3">
      <c r="A5" t="s">
        <v>28</v>
      </c>
      <c r="B5" s="6">
        <f>'Data Sheet'!B83</f>
        <v>-149.85</v>
      </c>
      <c r="C5" s="6">
        <f>'Data Sheet'!C83</f>
        <v>-956.52</v>
      </c>
      <c r="D5" s="6">
        <f>'Data Sheet'!D83</f>
        <v>-852.22</v>
      </c>
      <c r="E5" s="6">
        <f>'Data Sheet'!E83</f>
        <v>-1525.93</v>
      </c>
      <c r="F5" s="6">
        <f>'Data Sheet'!F83</f>
        <v>458.82</v>
      </c>
      <c r="G5" s="6">
        <f>'Data Sheet'!G83</f>
        <v>914.19</v>
      </c>
      <c r="H5" s="6">
        <f>'Data Sheet'!H83</f>
        <v>-1507</v>
      </c>
      <c r="I5" s="6">
        <f>'Data Sheet'!I83</f>
        <v>485.44</v>
      </c>
      <c r="J5" s="6">
        <f>'Data Sheet'!J83</f>
        <v>69.069999999999993</v>
      </c>
      <c r="K5" s="6">
        <f>'Data Sheet'!K83</f>
        <v>-741.38</v>
      </c>
      <c r="L5" s="27">
        <f>-'Profit &amp; Loss'!L4*assumption!$B$5</f>
        <v>-617.21317746298007</v>
      </c>
      <c r="M5" s="27">
        <f>-'Profit &amp; Loss'!M4*assumption!$B$5</f>
        <v>-663.04696099897046</v>
      </c>
      <c r="N5" s="27">
        <f>-'Profit &amp; Loss'!N4*assumption!$B$5</f>
        <v>-712.28432661961267</v>
      </c>
      <c r="O5" s="27">
        <f>-'Profit &amp; Loss'!O4*assumption!$B$5</f>
        <v>-765.17802175514805</v>
      </c>
      <c r="P5" s="27">
        <f>-'Profit &amp; Loss'!P4*assumption!$B$5</f>
        <v>-821.99956266874312</v>
      </c>
    </row>
    <row r="6" spans="1:16" x14ac:dyDescent="0.3">
      <c r="A6" t="s">
        <v>29</v>
      </c>
      <c r="B6" s="6">
        <f>'Data Sheet'!B84</f>
        <v>-295.08</v>
      </c>
      <c r="C6" s="6">
        <f>'Data Sheet'!C84</f>
        <v>-231.75</v>
      </c>
      <c r="D6" s="6">
        <f>'Data Sheet'!D84</f>
        <v>-352.68</v>
      </c>
      <c r="E6" s="6">
        <f>'Data Sheet'!E84</f>
        <v>57.94</v>
      </c>
      <c r="F6" s="6">
        <f>'Data Sheet'!F84</f>
        <v>-2243.69</v>
      </c>
      <c r="G6" s="6">
        <f>'Data Sheet'!G84</f>
        <v>-2245.84</v>
      </c>
      <c r="H6" s="6">
        <f>'Data Sheet'!H84</f>
        <v>-1028.3699999999999</v>
      </c>
      <c r="I6" s="6">
        <f>'Data Sheet'!I84</f>
        <v>-2839.13</v>
      </c>
      <c r="J6" s="6">
        <f>'Data Sheet'!J84</f>
        <v>-2753.9</v>
      </c>
      <c r="K6" s="6">
        <f>'Data Sheet'!K84</f>
        <v>-1782.62</v>
      </c>
      <c r="L6" s="27">
        <f>-'Profit &amp; Loss'!L12*assumption!$B$8</f>
        <v>-2236.7146708908285</v>
      </c>
      <c r="M6" s="27">
        <f>-'Profit &amp; Loss'!M12*assumption!$B$8</f>
        <v>-2393.0481593075756</v>
      </c>
      <c r="N6" s="27">
        <f>-'Profit &amp; Loss'!N12*assumption!$B$8</f>
        <v>-2563.5954863211291</v>
      </c>
      <c r="O6" s="27">
        <f>-'Profit &amp; Loss'!O12*assumption!$B$8</f>
        <v>-2743.395594736799</v>
      </c>
      <c r="P6" s="27">
        <f>-'Profit &amp; Loss'!P12*assumption!$B$8</f>
        <v>-2939.0676631525994</v>
      </c>
    </row>
    <row r="7" spans="1:16" s="2" customFormat="1" x14ac:dyDescent="0.3">
      <c r="A7" s="2" t="s">
        <v>30</v>
      </c>
      <c r="B7" s="1">
        <f>'Data Sheet'!B85</f>
        <v>-3.65</v>
      </c>
      <c r="C7" s="1">
        <f>'Data Sheet'!C85</f>
        <v>60.5</v>
      </c>
      <c r="D7" s="1">
        <f>'Data Sheet'!D85</f>
        <v>-49.12</v>
      </c>
      <c r="E7" s="1">
        <f>'Data Sheet'!E85</f>
        <v>16.54</v>
      </c>
      <c r="F7" s="1">
        <f>'Data Sheet'!F85</f>
        <v>66.2</v>
      </c>
      <c r="G7" s="1">
        <f>'Data Sheet'!G85</f>
        <v>-32.130000000000003</v>
      </c>
      <c r="H7" s="1">
        <f>'Data Sheet'!H85</f>
        <v>-9.16</v>
      </c>
      <c r="I7" s="1">
        <f>'Data Sheet'!I85</f>
        <v>219.29</v>
      </c>
      <c r="J7" s="1">
        <f>'Data Sheet'!J85</f>
        <v>-194.21</v>
      </c>
      <c r="K7" s="1">
        <f>'Data Sheet'!K85</f>
        <v>87.6</v>
      </c>
      <c r="L7" s="29">
        <f>L4+L5+L6</f>
        <v>9.0000000000600267E-2</v>
      </c>
      <c r="M7" s="29">
        <f t="shared" ref="M7:P7" si="0">M4+M5+M6</f>
        <v>0</v>
      </c>
      <c r="N7" s="29">
        <f t="shared" si="0"/>
        <v>0</v>
      </c>
      <c r="O7" s="29">
        <f t="shared" si="0"/>
        <v>0</v>
      </c>
      <c r="P7" s="29">
        <f t="shared" si="0"/>
        <v>0</v>
      </c>
    </row>
    <row r="8" spans="1:16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tabSelected="1" zoomScale="96" zoomScaleNormal="96" zoomScalePageLayoutView="150" workbookViewId="0">
      <selection activeCell="A21" sqref="A21"/>
    </sheetView>
  </sheetViews>
  <sheetFormatPr defaultColWidth="8.77734375" defaultRowHeight="14.4" x14ac:dyDescent="0.3"/>
  <cols>
    <col min="1" max="1" width="36.44140625" style="2" bestFit="1" customWidth="1"/>
    <col min="2" max="2" width="21.6640625" customWidth="1"/>
    <col min="3" max="3" width="29.88671875" style="14" bestFit="1" customWidth="1"/>
    <col min="6" max="6" width="6.77734375" customWidth="1"/>
  </cols>
  <sheetData>
    <row r="1" spans="1:7" x14ac:dyDescent="0.3">
      <c r="A1" t="s">
        <v>75</v>
      </c>
      <c r="B1" s="18">
        <f>('Profit &amp; Loss'!K4/'Profit &amp; Loss'!E4)^(1/7)-1</f>
        <v>7.4259243336941561E-2</v>
      </c>
    </row>
    <row r="2" spans="1:7" x14ac:dyDescent="0.3">
      <c r="A2" t="s">
        <v>76</v>
      </c>
      <c r="B2" s="26">
        <f>'Profit &amp; Loss'!K6/'Profit &amp; Loss'!K4</f>
        <v>0.1835012132151953</v>
      </c>
      <c r="C2" s="32" t="s">
        <v>83</v>
      </c>
    </row>
    <row r="3" spans="1:7" x14ac:dyDescent="0.3">
      <c r="A3" t="s">
        <v>77</v>
      </c>
      <c r="B3" s="26">
        <v>0.24</v>
      </c>
    </row>
    <row r="4" spans="1:7" x14ac:dyDescent="0.3">
      <c r="A4" t="s">
        <v>78</v>
      </c>
      <c r="B4" s="26">
        <v>0.11</v>
      </c>
    </row>
    <row r="5" spans="1:7" x14ac:dyDescent="0.3">
      <c r="A5" t="s">
        <v>79</v>
      </c>
      <c r="B5" s="26">
        <v>0.03</v>
      </c>
      <c r="C5" s="32" t="s">
        <v>83</v>
      </c>
    </row>
    <row r="6" spans="1:7" x14ac:dyDescent="0.3">
      <c r="A6" t="s">
        <v>80</v>
      </c>
      <c r="B6" s="26">
        <v>0.09</v>
      </c>
    </row>
    <row r="7" spans="1:7" x14ac:dyDescent="0.3">
      <c r="A7" t="s">
        <v>81</v>
      </c>
      <c r="B7" s="26">
        <v>-0.03</v>
      </c>
    </row>
    <row r="8" spans="1:7" x14ac:dyDescent="0.3">
      <c r="A8" t="s">
        <v>82</v>
      </c>
      <c r="B8" s="26">
        <v>0.83</v>
      </c>
      <c r="C8" s="15"/>
    </row>
    <row r="16" spans="1:7" x14ac:dyDescent="0.3">
      <c r="G1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topLeftCell="A79" zoomScale="98" zoomScaleNormal="98" zoomScalePageLayoutView="120" workbookViewId="0">
      <selection activeCell="K90" sqref="K90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49</v>
      </c>
      <c r="E1" s="30" t="str">
        <f>IF(B2&lt;&gt;B3, "A NEW VERSION OF THE WORKSHEET IS AVAILABLE", "")</f>
        <v/>
      </c>
      <c r="F1" s="30"/>
      <c r="G1" s="30"/>
      <c r="H1" s="30"/>
      <c r="I1" s="30"/>
      <c r="J1" s="30"/>
      <c r="K1" s="30"/>
    </row>
    <row r="2" spans="1:11" x14ac:dyDescent="0.3">
      <c r="A2" s="1" t="s">
        <v>47</v>
      </c>
      <c r="B2" s="4">
        <v>2.1</v>
      </c>
      <c r="E2" s="31" t="s">
        <v>31</v>
      </c>
      <c r="F2" s="31"/>
      <c r="G2" s="31"/>
      <c r="H2" s="31"/>
      <c r="I2" s="31"/>
      <c r="J2" s="31"/>
      <c r="K2" s="31"/>
    </row>
    <row r="3" spans="1:11" x14ac:dyDescent="0.3">
      <c r="A3" s="1" t="s">
        <v>48</v>
      </c>
      <c r="B3" s="4">
        <v>2.1</v>
      </c>
    </row>
    <row r="4" spans="1:11" x14ac:dyDescent="0.3">
      <c r="A4" s="1"/>
    </row>
    <row r="5" spans="1:11" x14ac:dyDescent="0.3">
      <c r="A5" s="1" t="s">
        <v>50</v>
      </c>
    </row>
    <row r="6" spans="1:11" x14ac:dyDescent="0.3">
      <c r="A6" s="4" t="s">
        <v>37</v>
      </c>
      <c r="B6" s="4">
        <f>IF(B9&gt;0, B9/B8, 0)</f>
        <v>24.086829794890249</v>
      </c>
    </row>
    <row r="7" spans="1:11" x14ac:dyDescent="0.3">
      <c r="A7" s="4" t="s">
        <v>26</v>
      </c>
      <c r="B7">
        <v>1</v>
      </c>
    </row>
    <row r="8" spans="1:11" x14ac:dyDescent="0.3">
      <c r="A8" s="4" t="s">
        <v>38</v>
      </c>
      <c r="B8">
        <v>5558</v>
      </c>
    </row>
    <row r="9" spans="1:11" x14ac:dyDescent="0.3">
      <c r="A9" s="4" t="s">
        <v>64</v>
      </c>
      <c r="B9">
        <v>133874.6</v>
      </c>
    </row>
    <row r="15" spans="1:11" x14ac:dyDescent="0.3">
      <c r="A15" s="1" t="s">
        <v>32</v>
      </c>
    </row>
    <row r="16" spans="1:11" s="13" customFormat="1" x14ac:dyDescent="0.3">
      <c r="A16" s="12" t="s">
        <v>33</v>
      </c>
      <c r="B16" s="9">
        <v>42825</v>
      </c>
      <c r="C16" s="9">
        <v>43190</v>
      </c>
      <c r="D16" s="9">
        <v>43555</v>
      </c>
      <c r="E16" s="9">
        <v>43921</v>
      </c>
      <c r="F16" s="9">
        <v>44286</v>
      </c>
      <c r="G16" s="9">
        <v>44651</v>
      </c>
      <c r="H16" s="9">
        <v>45016</v>
      </c>
      <c r="I16" s="9">
        <v>45382</v>
      </c>
      <c r="J16" s="9">
        <v>45747</v>
      </c>
      <c r="K16" s="9">
        <v>46112</v>
      </c>
    </row>
    <row r="17" spans="1:11" s="6" customFormat="1" x14ac:dyDescent="0.3">
      <c r="A17" s="6" t="s">
        <v>3</v>
      </c>
      <c r="B17">
        <v>9054.09</v>
      </c>
      <c r="C17">
        <v>9913.99</v>
      </c>
      <c r="D17">
        <v>11054.67</v>
      </c>
      <c r="E17">
        <v>11599.55</v>
      </c>
      <c r="F17">
        <v>13136.14</v>
      </c>
      <c r="G17">
        <v>14136.26</v>
      </c>
      <c r="H17">
        <v>16300.55</v>
      </c>
      <c r="I17">
        <v>16769.27</v>
      </c>
      <c r="J17">
        <v>17942.669999999998</v>
      </c>
      <c r="K17">
        <v>19151.59</v>
      </c>
    </row>
    <row r="18" spans="1:11" s="6" customFormat="1" x14ac:dyDescent="0.3">
      <c r="A18" s="4" t="s">
        <v>65</v>
      </c>
      <c r="B18">
        <v>5642.88</v>
      </c>
      <c r="C18">
        <v>6100.8</v>
      </c>
      <c r="D18">
        <v>6616.64</v>
      </c>
      <c r="E18">
        <v>6874.9</v>
      </c>
      <c r="F18">
        <v>7663.22</v>
      </c>
      <c r="G18">
        <v>8835.56</v>
      </c>
      <c r="H18">
        <v>9663.83</v>
      </c>
      <c r="I18">
        <v>9488.3700000000008</v>
      </c>
      <c r="J18">
        <v>10668.8</v>
      </c>
      <c r="K18">
        <v>11155.25</v>
      </c>
    </row>
    <row r="19" spans="1:11" s="6" customFormat="1" x14ac:dyDescent="0.3">
      <c r="A19" s="4" t="s">
        <v>66</v>
      </c>
      <c r="B19">
        <v>54.2</v>
      </c>
      <c r="C19">
        <v>-6.3</v>
      </c>
      <c r="D19">
        <v>55.18</v>
      </c>
      <c r="E19">
        <v>-52.57</v>
      </c>
      <c r="F19">
        <v>37.119999999999997</v>
      </c>
      <c r="G19">
        <v>75.260000000000005</v>
      </c>
      <c r="H19">
        <v>72.53</v>
      </c>
      <c r="I19">
        <v>-3.66</v>
      </c>
      <c r="J19">
        <v>64.75</v>
      </c>
      <c r="K19">
        <v>22.37</v>
      </c>
    </row>
    <row r="20" spans="1:11" s="6" customFormat="1" x14ac:dyDescent="0.3">
      <c r="A20" s="4" t="s">
        <v>67</v>
      </c>
      <c r="B20">
        <v>104.28</v>
      </c>
      <c r="C20">
        <v>128.83000000000001</v>
      </c>
      <c r="D20">
        <v>175.17</v>
      </c>
      <c r="E20">
        <v>177.7</v>
      </c>
      <c r="F20">
        <v>182.29</v>
      </c>
      <c r="G20">
        <v>217.68</v>
      </c>
      <c r="H20">
        <v>272.2</v>
      </c>
      <c r="I20">
        <v>327.25</v>
      </c>
      <c r="J20">
        <v>357.98</v>
      </c>
      <c r="K20">
        <v>342.87</v>
      </c>
    </row>
    <row r="21" spans="1:11" s="6" customFormat="1" x14ac:dyDescent="0.3">
      <c r="A21" s="4" t="s">
        <v>68</v>
      </c>
      <c r="B21">
        <v>509.93</v>
      </c>
      <c r="C21">
        <v>487.59</v>
      </c>
      <c r="D21">
        <v>621.32000000000005</v>
      </c>
      <c r="E21">
        <v>610.67999999999995</v>
      </c>
      <c r="F21">
        <v>672.21</v>
      </c>
      <c r="G21">
        <v>752.29</v>
      </c>
      <c r="H21">
        <v>893.75</v>
      </c>
      <c r="I21">
        <v>876.12</v>
      </c>
      <c r="J21">
        <v>954.03</v>
      </c>
      <c r="K21">
        <v>920.68</v>
      </c>
    </row>
    <row r="22" spans="1:11" s="6" customFormat="1" x14ac:dyDescent="0.3">
      <c r="A22" s="4" t="s">
        <v>69</v>
      </c>
      <c r="B22">
        <v>352.61</v>
      </c>
      <c r="C22">
        <v>401.6</v>
      </c>
      <c r="D22">
        <v>441.82</v>
      </c>
      <c r="E22">
        <v>486.69</v>
      </c>
      <c r="F22">
        <v>527.38</v>
      </c>
      <c r="G22">
        <v>542.26</v>
      </c>
      <c r="H22">
        <v>658.38</v>
      </c>
      <c r="I22">
        <v>708.7</v>
      </c>
      <c r="J22">
        <v>704.59</v>
      </c>
      <c r="K22">
        <v>823.8</v>
      </c>
    </row>
    <row r="23" spans="1:11" s="6" customFormat="1" x14ac:dyDescent="0.3">
      <c r="A23" s="4" t="s">
        <v>70</v>
      </c>
      <c r="B23">
        <v>915.01</v>
      </c>
      <c r="C23">
        <v>953.48</v>
      </c>
      <c r="D23">
        <v>1107.49</v>
      </c>
      <c r="E23">
        <v>1125.23</v>
      </c>
      <c r="F23">
        <v>1163.82</v>
      </c>
      <c r="G23">
        <v>1187.32</v>
      </c>
      <c r="H23">
        <v>1473.86</v>
      </c>
      <c r="I23">
        <v>1525.52</v>
      </c>
      <c r="J23">
        <v>1360</v>
      </c>
      <c r="K23">
        <v>1575.23</v>
      </c>
    </row>
    <row r="24" spans="1:11" s="6" customFormat="1" x14ac:dyDescent="0.3">
      <c r="A24" s="4" t="s">
        <v>71</v>
      </c>
      <c r="B24">
        <v>305.39999999999998</v>
      </c>
      <c r="C24">
        <v>333.92</v>
      </c>
      <c r="D24">
        <v>414.96</v>
      </c>
      <c r="E24">
        <v>428.6</v>
      </c>
      <c r="F24">
        <v>455.05</v>
      </c>
      <c r="G24">
        <v>475.1</v>
      </c>
      <c r="H24">
        <v>580.15</v>
      </c>
      <c r="I24">
        <v>673</v>
      </c>
      <c r="J24">
        <v>785.61</v>
      </c>
      <c r="K24">
        <v>841.79</v>
      </c>
    </row>
    <row r="25" spans="1:11" s="6" customFormat="1" x14ac:dyDescent="0.3">
      <c r="A25" s="6" t="s">
        <v>6</v>
      </c>
      <c r="B25">
        <v>150.54</v>
      </c>
      <c r="C25">
        <v>166.37</v>
      </c>
      <c r="D25">
        <v>206.45</v>
      </c>
      <c r="E25">
        <v>262.83</v>
      </c>
      <c r="F25">
        <v>313.07</v>
      </c>
      <c r="G25">
        <v>221.85</v>
      </c>
      <c r="H25">
        <v>596.87</v>
      </c>
      <c r="I25">
        <v>211.28</v>
      </c>
      <c r="J25">
        <v>202.3</v>
      </c>
      <c r="K25">
        <v>224.03</v>
      </c>
    </row>
    <row r="26" spans="1:11" s="6" customFormat="1" x14ac:dyDescent="0.3">
      <c r="A26" s="6" t="s">
        <v>7</v>
      </c>
      <c r="B26">
        <v>119.27</v>
      </c>
      <c r="C26">
        <v>142.07</v>
      </c>
      <c r="D26">
        <v>161.88</v>
      </c>
      <c r="E26">
        <v>184.81</v>
      </c>
      <c r="F26">
        <v>197.85</v>
      </c>
      <c r="G26">
        <v>200.54</v>
      </c>
      <c r="H26">
        <v>225.91</v>
      </c>
      <c r="I26">
        <v>300.45999999999998</v>
      </c>
      <c r="J26">
        <v>313.33999999999997</v>
      </c>
      <c r="K26">
        <v>336.83</v>
      </c>
    </row>
    <row r="27" spans="1:11" s="6" customFormat="1" x14ac:dyDescent="0.3">
      <c r="A27" s="6" t="s">
        <v>8</v>
      </c>
      <c r="B27">
        <v>5.45</v>
      </c>
      <c r="C27">
        <v>7.59</v>
      </c>
      <c r="D27">
        <v>9.09</v>
      </c>
      <c r="E27">
        <v>76.900000000000006</v>
      </c>
      <c r="F27">
        <v>110.9</v>
      </c>
      <c r="G27">
        <v>144.29</v>
      </c>
      <c r="H27">
        <v>169.1</v>
      </c>
      <c r="I27">
        <v>164</v>
      </c>
      <c r="J27">
        <v>138.80000000000001</v>
      </c>
      <c r="K27">
        <v>112.76</v>
      </c>
    </row>
    <row r="28" spans="1:11" s="6" customFormat="1" x14ac:dyDescent="0.3">
      <c r="A28" s="6" t="s">
        <v>9</v>
      </c>
      <c r="B28">
        <v>1304</v>
      </c>
      <c r="C28">
        <v>1518.18</v>
      </c>
      <c r="D28">
        <v>1767.93</v>
      </c>
      <c r="E28">
        <v>1844.3</v>
      </c>
      <c r="F28">
        <v>2513.61</v>
      </c>
      <c r="G28">
        <v>2078.33</v>
      </c>
      <c r="H28">
        <v>3032.77</v>
      </c>
      <c r="I28">
        <v>2913.47</v>
      </c>
      <c r="J28">
        <v>2926.57</v>
      </c>
      <c r="K28">
        <v>3288.78</v>
      </c>
    </row>
    <row r="29" spans="1:11" s="6" customFormat="1" x14ac:dyDescent="0.3">
      <c r="A29" s="6" t="s">
        <v>10</v>
      </c>
      <c r="B29">
        <v>419.67</v>
      </c>
      <c r="C29">
        <v>514.22</v>
      </c>
      <c r="D29">
        <v>612.47</v>
      </c>
      <c r="E29">
        <v>450.7</v>
      </c>
      <c r="F29">
        <v>663.02</v>
      </c>
      <c r="G29">
        <v>562.35</v>
      </c>
      <c r="H29">
        <v>716.45</v>
      </c>
      <c r="I29">
        <v>779.25</v>
      </c>
      <c r="J29">
        <v>748.71</v>
      </c>
      <c r="K29">
        <v>751.77</v>
      </c>
    </row>
    <row r="30" spans="1:11" s="6" customFormat="1" x14ac:dyDescent="0.3">
      <c r="A30" s="6" t="s">
        <v>11</v>
      </c>
      <c r="B30">
        <v>884.47</v>
      </c>
      <c r="C30">
        <v>1004.23</v>
      </c>
      <c r="D30">
        <v>1159.1199999999999</v>
      </c>
      <c r="E30">
        <v>1402.63</v>
      </c>
      <c r="F30">
        <v>1863.9</v>
      </c>
      <c r="G30">
        <v>1524.82</v>
      </c>
      <c r="H30">
        <v>2321.77</v>
      </c>
      <c r="I30">
        <v>2139.81</v>
      </c>
      <c r="J30">
        <v>2178.73</v>
      </c>
      <c r="K30">
        <v>2533.4899999999998</v>
      </c>
    </row>
    <row r="31" spans="1:11" s="6" customFormat="1" x14ac:dyDescent="0.3">
      <c r="A31" s="6" t="s">
        <v>55</v>
      </c>
      <c r="B31">
        <v>264</v>
      </c>
      <c r="C31">
        <v>300.12</v>
      </c>
      <c r="D31">
        <v>360.45</v>
      </c>
      <c r="E31">
        <v>841.75</v>
      </c>
      <c r="F31">
        <v>3794.18</v>
      </c>
      <c r="G31">
        <v>1361.08</v>
      </c>
      <c r="H31">
        <v>1734.48</v>
      </c>
      <c r="I31">
        <v>1770.62</v>
      </c>
      <c r="J31">
        <v>1806.75</v>
      </c>
      <c r="K31">
        <v>2180.14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34</v>
      </c>
    </row>
    <row r="41" spans="1:11" s="13" customFormat="1" x14ac:dyDescent="0.3">
      <c r="A41" s="12" t="s">
        <v>33</v>
      </c>
      <c r="B41" s="9">
        <v>45382</v>
      </c>
      <c r="C41" s="9">
        <v>45473</v>
      </c>
      <c r="D41" s="9">
        <v>45565</v>
      </c>
      <c r="E41" s="9">
        <v>45657</v>
      </c>
      <c r="F41" s="9">
        <v>45747</v>
      </c>
      <c r="G41" s="9">
        <v>45838</v>
      </c>
      <c r="H41" s="9">
        <v>45930</v>
      </c>
      <c r="I41" s="9">
        <v>46022</v>
      </c>
      <c r="J41" s="9">
        <v>46112</v>
      </c>
      <c r="K41" s="9">
        <v>46203</v>
      </c>
    </row>
    <row r="42" spans="1:11" s="6" customFormat="1" x14ac:dyDescent="0.3">
      <c r="A42" s="6" t="s">
        <v>3</v>
      </c>
      <c r="B42">
        <v>4069.36</v>
      </c>
      <c r="C42">
        <v>4250.29</v>
      </c>
      <c r="D42">
        <v>4667.57</v>
      </c>
      <c r="E42">
        <v>4592.6099999999997</v>
      </c>
      <c r="F42">
        <v>4432.1899999999996</v>
      </c>
      <c r="G42">
        <v>4622.22</v>
      </c>
      <c r="H42">
        <v>4840.63</v>
      </c>
      <c r="I42">
        <v>4969.82</v>
      </c>
      <c r="J42">
        <v>4718.92</v>
      </c>
      <c r="K42">
        <v>4999.97</v>
      </c>
    </row>
    <row r="43" spans="1:11" s="6" customFormat="1" x14ac:dyDescent="0.3">
      <c r="A43" s="6" t="s">
        <v>4</v>
      </c>
      <c r="B43">
        <v>3285.71</v>
      </c>
      <c r="C43">
        <v>3497.28</v>
      </c>
      <c r="D43">
        <v>3887.56</v>
      </c>
      <c r="E43">
        <v>3749.75</v>
      </c>
      <c r="F43">
        <v>3631.67</v>
      </c>
      <c r="G43">
        <v>3870.02</v>
      </c>
      <c r="H43">
        <v>3889.39</v>
      </c>
      <c r="I43">
        <v>3992.49</v>
      </c>
      <c r="J43">
        <v>3885.35</v>
      </c>
      <c r="K43">
        <v>4161.6499999999996</v>
      </c>
    </row>
    <row r="44" spans="1:11" s="6" customFormat="1" x14ac:dyDescent="0.3">
      <c r="A44" s="6" t="s">
        <v>6</v>
      </c>
      <c r="B44">
        <v>57.34</v>
      </c>
      <c r="C44">
        <v>30.97</v>
      </c>
      <c r="D44">
        <v>45.85</v>
      </c>
      <c r="E44">
        <v>62.46</v>
      </c>
      <c r="F44">
        <v>63.02</v>
      </c>
      <c r="G44">
        <v>57.01</v>
      </c>
      <c r="H44">
        <v>52.11</v>
      </c>
      <c r="I44">
        <v>59.46</v>
      </c>
      <c r="J44">
        <v>55.45</v>
      </c>
      <c r="K44">
        <v>61.41</v>
      </c>
    </row>
    <row r="45" spans="1:11" s="6" customFormat="1" x14ac:dyDescent="0.3">
      <c r="A45" s="6" t="s">
        <v>7</v>
      </c>
      <c r="B45">
        <v>79.930000000000007</v>
      </c>
      <c r="C45">
        <v>73.930000000000007</v>
      </c>
      <c r="D45">
        <v>76.069999999999993</v>
      </c>
      <c r="E45">
        <v>82.38</v>
      </c>
      <c r="F45">
        <v>80.959999999999994</v>
      </c>
      <c r="G45">
        <v>82.04</v>
      </c>
      <c r="H45">
        <v>85.05</v>
      </c>
      <c r="I45">
        <v>84.51</v>
      </c>
      <c r="J45">
        <v>85.23</v>
      </c>
      <c r="K45">
        <v>79.510000000000005</v>
      </c>
    </row>
    <row r="46" spans="1:11" s="6" customFormat="1" x14ac:dyDescent="0.3">
      <c r="A46" s="6" t="s">
        <v>8</v>
      </c>
      <c r="B46">
        <v>26.44</v>
      </c>
      <c r="C46">
        <v>28.95</v>
      </c>
      <c r="D46">
        <v>34.64</v>
      </c>
      <c r="E46">
        <v>44.56</v>
      </c>
      <c r="F46">
        <v>30.65</v>
      </c>
      <c r="G46">
        <v>26.15</v>
      </c>
      <c r="H46">
        <v>34.68</v>
      </c>
      <c r="I46">
        <v>33.25</v>
      </c>
      <c r="J46">
        <v>18.68</v>
      </c>
      <c r="K46">
        <v>22.87</v>
      </c>
    </row>
    <row r="47" spans="1:11" s="6" customFormat="1" x14ac:dyDescent="0.3">
      <c r="A47" s="6" t="s">
        <v>9</v>
      </c>
      <c r="B47">
        <v>734.62</v>
      </c>
      <c r="C47">
        <v>681.1</v>
      </c>
      <c r="D47">
        <v>715.15</v>
      </c>
      <c r="E47">
        <v>778.38</v>
      </c>
      <c r="F47">
        <v>751.93</v>
      </c>
      <c r="G47">
        <v>701.02</v>
      </c>
      <c r="H47">
        <v>883.62</v>
      </c>
      <c r="I47">
        <v>919.03</v>
      </c>
      <c r="J47">
        <v>785.11</v>
      </c>
      <c r="K47">
        <v>797.35</v>
      </c>
    </row>
    <row r="48" spans="1:11" s="6" customFormat="1" x14ac:dyDescent="0.3">
      <c r="A48" s="6" t="s">
        <v>10</v>
      </c>
      <c r="B48">
        <v>198.01</v>
      </c>
      <c r="C48">
        <v>176.22</v>
      </c>
      <c r="D48">
        <v>183.6</v>
      </c>
      <c r="E48">
        <v>196.08</v>
      </c>
      <c r="F48">
        <v>192.8</v>
      </c>
      <c r="G48">
        <v>180.89</v>
      </c>
      <c r="H48">
        <v>228.56</v>
      </c>
      <c r="I48">
        <v>236.89</v>
      </c>
      <c r="J48">
        <v>105.43</v>
      </c>
      <c r="K48">
        <v>203.97</v>
      </c>
    </row>
    <row r="49" spans="1:11" s="6" customFormat="1" x14ac:dyDescent="0.3">
      <c r="A49" s="6" t="s">
        <v>11</v>
      </c>
      <c r="B49">
        <v>538.28</v>
      </c>
      <c r="C49">
        <v>505.64</v>
      </c>
      <c r="D49">
        <v>531.45000000000005</v>
      </c>
      <c r="E49">
        <v>581.69000000000005</v>
      </c>
      <c r="F49">
        <v>559.95000000000005</v>
      </c>
      <c r="G49">
        <v>520.72</v>
      </c>
      <c r="H49">
        <v>654.47</v>
      </c>
      <c r="I49">
        <v>679.96</v>
      </c>
      <c r="J49">
        <v>678.34</v>
      </c>
      <c r="K49">
        <v>591.35</v>
      </c>
    </row>
    <row r="50" spans="1:11" x14ac:dyDescent="0.3">
      <c r="A50" s="6" t="s">
        <v>5</v>
      </c>
      <c r="B50">
        <v>783.65</v>
      </c>
      <c r="C50">
        <v>753.01</v>
      </c>
      <c r="D50">
        <v>780.01</v>
      </c>
      <c r="E50">
        <v>842.86</v>
      </c>
      <c r="F50">
        <v>800.52</v>
      </c>
      <c r="G50">
        <v>752.2</v>
      </c>
      <c r="H50">
        <v>951.24</v>
      </c>
      <c r="I50">
        <v>977.33</v>
      </c>
      <c r="J50">
        <v>833.57</v>
      </c>
      <c r="K50">
        <v>838.32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35</v>
      </c>
    </row>
    <row r="56" spans="1:11" s="13" customFormat="1" x14ac:dyDescent="0.3">
      <c r="A56" s="12" t="s">
        <v>33</v>
      </c>
      <c r="B56" s="9">
        <v>42825</v>
      </c>
      <c r="C56" s="9">
        <v>43190</v>
      </c>
      <c r="D56" s="9">
        <v>43555</v>
      </c>
      <c r="E56" s="9">
        <v>43921</v>
      </c>
      <c r="F56" s="9">
        <v>44286</v>
      </c>
      <c r="G56" s="9">
        <v>44651</v>
      </c>
      <c r="H56" s="9">
        <v>45016</v>
      </c>
      <c r="I56" s="9">
        <v>45382</v>
      </c>
      <c r="J56" s="9">
        <v>45747</v>
      </c>
      <c r="K56" s="9">
        <v>46112</v>
      </c>
    </row>
    <row r="57" spans="1:11" x14ac:dyDescent="0.3">
      <c r="A57" s="6" t="s">
        <v>19</v>
      </c>
      <c r="B57">
        <v>24</v>
      </c>
      <c r="C57">
        <v>24.01</v>
      </c>
      <c r="D57">
        <v>24.03</v>
      </c>
      <c r="E57">
        <v>24.05</v>
      </c>
      <c r="F57">
        <v>24.09</v>
      </c>
      <c r="G57">
        <v>24.09</v>
      </c>
      <c r="H57">
        <v>24.09</v>
      </c>
      <c r="I57">
        <v>24.09</v>
      </c>
      <c r="J57">
        <v>24.09</v>
      </c>
      <c r="K57">
        <v>24.09</v>
      </c>
    </row>
    <row r="58" spans="1:11" x14ac:dyDescent="0.3">
      <c r="A58" s="6" t="s">
        <v>20</v>
      </c>
      <c r="B58">
        <v>2672.42</v>
      </c>
      <c r="C58">
        <v>3382.22</v>
      </c>
      <c r="D58">
        <v>4229.22</v>
      </c>
      <c r="E58">
        <v>4378.78</v>
      </c>
      <c r="F58">
        <v>3523.57</v>
      </c>
      <c r="G58">
        <v>2534.0100000000002</v>
      </c>
      <c r="H58">
        <v>3510.18</v>
      </c>
      <c r="I58">
        <v>3917.43</v>
      </c>
      <c r="J58">
        <v>4331.63</v>
      </c>
      <c r="K58">
        <v>5082.47</v>
      </c>
    </row>
    <row r="59" spans="1:11" x14ac:dyDescent="0.3">
      <c r="A59" s="6" t="s">
        <v>56</v>
      </c>
      <c r="B59">
        <v>124.56</v>
      </c>
      <c r="C59">
        <v>200.7</v>
      </c>
      <c r="D59">
        <v>156.02000000000001</v>
      </c>
      <c r="E59">
        <v>1537.59</v>
      </c>
      <c r="F59">
        <v>2106.94</v>
      </c>
      <c r="G59">
        <v>2481.1999999999998</v>
      </c>
      <c r="H59">
        <v>2997.37</v>
      </c>
      <c r="I59">
        <v>2064.96</v>
      </c>
      <c r="J59">
        <v>1246.51</v>
      </c>
      <c r="K59">
        <v>1380.28</v>
      </c>
    </row>
    <row r="60" spans="1:11" x14ac:dyDescent="0.3">
      <c r="A60" s="6" t="s">
        <v>57</v>
      </c>
      <c r="B60">
        <v>1287.82</v>
      </c>
      <c r="C60">
        <v>1580.99</v>
      </c>
      <c r="D60">
        <v>1828.68</v>
      </c>
      <c r="E60">
        <v>1889.12</v>
      </c>
      <c r="F60">
        <v>2345.4899999999998</v>
      </c>
      <c r="G60">
        <v>2487.3000000000002</v>
      </c>
      <c r="H60">
        <v>2819.21</v>
      </c>
      <c r="I60">
        <v>3065.02</v>
      </c>
      <c r="J60">
        <v>3234.52</v>
      </c>
      <c r="K60">
        <v>3243.48</v>
      </c>
    </row>
    <row r="61" spans="1:11" s="1" customFormat="1" x14ac:dyDescent="0.3">
      <c r="A61" s="1" t="s">
        <v>21</v>
      </c>
      <c r="B61">
        <v>4108.8</v>
      </c>
      <c r="C61">
        <v>5187.92</v>
      </c>
      <c r="D61">
        <v>6237.95</v>
      </c>
      <c r="E61">
        <v>7829.54</v>
      </c>
      <c r="F61">
        <v>8000.09</v>
      </c>
      <c r="G61">
        <v>7526.6</v>
      </c>
      <c r="H61">
        <v>9350.85</v>
      </c>
      <c r="I61">
        <v>9071.5</v>
      </c>
      <c r="J61">
        <v>8836.75</v>
      </c>
      <c r="K61">
        <v>9730.32</v>
      </c>
    </row>
    <row r="62" spans="1:11" x14ac:dyDescent="0.3">
      <c r="A62" s="6" t="s">
        <v>22</v>
      </c>
      <c r="B62">
        <v>1159.99</v>
      </c>
      <c r="C62">
        <v>1345.6</v>
      </c>
      <c r="D62">
        <v>1688.3</v>
      </c>
      <c r="E62">
        <v>1878.18</v>
      </c>
      <c r="F62">
        <v>1792.95</v>
      </c>
      <c r="G62">
        <v>1753.21</v>
      </c>
      <c r="H62">
        <v>2655.22</v>
      </c>
      <c r="I62">
        <v>2771.14</v>
      </c>
      <c r="J62">
        <v>2903.8</v>
      </c>
      <c r="K62">
        <v>2849.92</v>
      </c>
    </row>
    <row r="63" spans="1:11" x14ac:dyDescent="0.3">
      <c r="A63" s="6" t="s">
        <v>23</v>
      </c>
      <c r="B63">
        <v>30.07</v>
      </c>
      <c r="C63">
        <v>202.82</v>
      </c>
      <c r="D63">
        <v>101.24</v>
      </c>
      <c r="E63">
        <v>39.549999999999997</v>
      </c>
      <c r="F63">
        <v>116.52</v>
      </c>
      <c r="G63">
        <v>535.67999999999995</v>
      </c>
      <c r="H63">
        <v>105</v>
      </c>
      <c r="I63">
        <v>187.54</v>
      </c>
      <c r="J63">
        <v>89.2</v>
      </c>
      <c r="K63">
        <v>39.04</v>
      </c>
    </row>
    <row r="64" spans="1:11" x14ac:dyDescent="0.3">
      <c r="A64" s="6" t="s">
        <v>24</v>
      </c>
      <c r="B64">
        <v>486.85</v>
      </c>
      <c r="C64">
        <v>1079.28</v>
      </c>
      <c r="D64">
        <v>1476.28</v>
      </c>
      <c r="E64">
        <v>2893.23</v>
      </c>
      <c r="F64">
        <v>2780.69</v>
      </c>
      <c r="G64">
        <v>1762.37</v>
      </c>
      <c r="H64">
        <v>3324.24</v>
      </c>
      <c r="I64">
        <v>2766.72</v>
      </c>
      <c r="J64">
        <v>2865.43</v>
      </c>
      <c r="K64">
        <v>3609.76</v>
      </c>
    </row>
    <row r="65" spans="1:11" x14ac:dyDescent="0.3">
      <c r="A65" s="6" t="s">
        <v>58</v>
      </c>
      <c r="B65">
        <v>2431.89</v>
      </c>
      <c r="C65">
        <v>2560.2199999999998</v>
      </c>
      <c r="D65">
        <v>2972.13</v>
      </c>
      <c r="E65">
        <v>3018.58</v>
      </c>
      <c r="F65">
        <v>3309.93</v>
      </c>
      <c r="G65">
        <v>3475.34</v>
      </c>
      <c r="H65">
        <v>3266.39</v>
      </c>
      <c r="I65">
        <v>3346.1</v>
      </c>
      <c r="J65">
        <v>2978.32</v>
      </c>
      <c r="K65">
        <v>3231.6</v>
      </c>
    </row>
    <row r="66" spans="1:11" s="1" customFormat="1" x14ac:dyDescent="0.3">
      <c r="A66" s="1" t="s">
        <v>21</v>
      </c>
      <c r="B66">
        <v>4108.8</v>
      </c>
      <c r="C66">
        <v>5187.92</v>
      </c>
      <c r="D66">
        <v>6237.95</v>
      </c>
      <c r="E66">
        <v>7829.54</v>
      </c>
      <c r="F66">
        <v>8000.09</v>
      </c>
      <c r="G66">
        <v>7526.6</v>
      </c>
      <c r="H66">
        <v>9350.85</v>
      </c>
      <c r="I66">
        <v>9071.5</v>
      </c>
      <c r="J66">
        <v>8836.75</v>
      </c>
      <c r="K66">
        <v>9730.32</v>
      </c>
    </row>
    <row r="67" spans="1:11" s="6" customFormat="1" x14ac:dyDescent="0.3">
      <c r="A67" s="6" t="s">
        <v>63</v>
      </c>
      <c r="B67">
        <v>179.16</v>
      </c>
      <c r="C67">
        <v>304.60000000000002</v>
      </c>
      <c r="D67">
        <v>394.24</v>
      </c>
      <c r="E67">
        <v>320.36</v>
      </c>
      <c r="F67">
        <v>257.27</v>
      </c>
      <c r="G67">
        <v>331.93</v>
      </c>
      <c r="H67">
        <v>328.94</v>
      </c>
      <c r="I67">
        <v>393.33</v>
      </c>
      <c r="J67">
        <v>448.61</v>
      </c>
      <c r="K67">
        <v>469.21</v>
      </c>
    </row>
    <row r="68" spans="1:11" x14ac:dyDescent="0.3">
      <c r="A68" s="6" t="s">
        <v>40</v>
      </c>
      <c r="B68">
        <v>661.45</v>
      </c>
      <c r="C68">
        <v>652.79</v>
      </c>
      <c r="D68">
        <v>781.38</v>
      </c>
      <c r="E68">
        <v>740.96</v>
      </c>
      <c r="F68">
        <v>1091.49</v>
      </c>
      <c r="G68">
        <v>1367.49</v>
      </c>
      <c r="H68">
        <v>1193.26</v>
      </c>
      <c r="I68">
        <v>1181.22</v>
      </c>
      <c r="J68">
        <v>1236.51</v>
      </c>
      <c r="K68">
        <v>1345.93</v>
      </c>
    </row>
    <row r="69" spans="1:11" x14ac:dyDescent="0.3">
      <c r="A69" s="4" t="s">
        <v>72</v>
      </c>
      <c r="B69">
        <v>120.76</v>
      </c>
      <c r="C69">
        <v>186.42</v>
      </c>
      <c r="D69">
        <v>109.82</v>
      </c>
      <c r="E69">
        <v>122.85</v>
      </c>
      <c r="F69">
        <v>211.34</v>
      </c>
      <c r="G69">
        <v>184.9</v>
      </c>
      <c r="H69">
        <v>197.98</v>
      </c>
      <c r="I69">
        <v>446.35</v>
      </c>
      <c r="J69">
        <v>312.48</v>
      </c>
      <c r="K69">
        <v>352.44</v>
      </c>
    </row>
    <row r="70" spans="1:11" x14ac:dyDescent="0.3">
      <c r="A70" s="4" t="s">
        <v>59</v>
      </c>
      <c r="B70">
        <v>120000815</v>
      </c>
      <c r="C70">
        <v>120059148</v>
      </c>
      <c r="D70">
        <v>240318294</v>
      </c>
      <c r="E70">
        <v>240318294</v>
      </c>
      <c r="F70">
        <v>240868296</v>
      </c>
      <c r="G70">
        <v>240868296</v>
      </c>
      <c r="H70">
        <v>240868296</v>
      </c>
      <c r="I70">
        <v>240868296</v>
      </c>
      <c r="J70">
        <v>240868296</v>
      </c>
      <c r="K70">
        <v>240868296</v>
      </c>
    </row>
    <row r="71" spans="1:11" x14ac:dyDescent="0.3">
      <c r="A71" s="4" t="s">
        <v>60</v>
      </c>
    </row>
    <row r="72" spans="1:11" x14ac:dyDescent="0.3">
      <c r="A72" s="4" t="s">
        <v>73</v>
      </c>
      <c r="B72">
        <v>2</v>
      </c>
      <c r="C72">
        <v>2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36</v>
      </c>
    </row>
    <row r="81" spans="1:11" s="13" customFormat="1" x14ac:dyDescent="0.3">
      <c r="A81" s="12" t="s">
        <v>33</v>
      </c>
      <c r="B81" s="9">
        <v>42825</v>
      </c>
      <c r="C81" s="9">
        <v>43190</v>
      </c>
      <c r="D81" s="9">
        <v>43555</v>
      </c>
      <c r="E81" s="9">
        <v>43921</v>
      </c>
      <c r="F81" s="9">
        <v>44286</v>
      </c>
      <c r="G81" s="9">
        <v>44651</v>
      </c>
      <c r="H81" s="9">
        <v>45016</v>
      </c>
      <c r="I81" s="9">
        <v>45382</v>
      </c>
      <c r="J81" s="9">
        <v>45747</v>
      </c>
      <c r="K81" s="9">
        <v>46112</v>
      </c>
    </row>
    <row r="82" spans="1:11" s="1" customFormat="1" x14ac:dyDescent="0.3">
      <c r="A82" s="6" t="s">
        <v>27</v>
      </c>
      <c r="B82">
        <v>441.28</v>
      </c>
      <c r="C82">
        <v>1248.77</v>
      </c>
      <c r="D82">
        <v>1155.78</v>
      </c>
      <c r="E82">
        <v>1484.53</v>
      </c>
      <c r="F82">
        <v>1851.07</v>
      </c>
      <c r="G82">
        <v>1299.52</v>
      </c>
      <c r="H82">
        <v>2526.21</v>
      </c>
      <c r="I82">
        <v>2572.98</v>
      </c>
      <c r="J82">
        <v>2490.62</v>
      </c>
      <c r="K82">
        <v>2611.6</v>
      </c>
    </row>
    <row r="83" spans="1:11" s="6" customFormat="1" x14ac:dyDescent="0.3">
      <c r="A83" s="6" t="s">
        <v>28</v>
      </c>
      <c r="B83">
        <v>-149.85</v>
      </c>
      <c r="C83">
        <v>-956.52</v>
      </c>
      <c r="D83">
        <v>-852.22</v>
      </c>
      <c r="E83">
        <v>-1525.93</v>
      </c>
      <c r="F83">
        <v>458.82</v>
      </c>
      <c r="G83">
        <v>914.19</v>
      </c>
      <c r="H83">
        <v>-1507</v>
      </c>
      <c r="I83">
        <v>485.44</v>
      </c>
      <c r="J83">
        <v>69.069999999999993</v>
      </c>
      <c r="K83">
        <v>-741.38</v>
      </c>
    </row>
    <row r="84" spans="1:11" s="6" customFormat="1" x14ac:dyDescent="0.3">
      <c r="A84" s="6" t="s">
        <v>29</v>
      </c>
      <c r="B84">
        <v>-295.08</v>
      </c>
      <c r="C84">
        <v>-231.75</v>
      </c>
      <c r="D84">
        <v>-352.68</v>
      </c>
      <c r="E84">
        <v>57.94</v>
      </c>
      <c r="F84">
        <v>-2243.69</v>
      </c>
      <c r="G84">
        <v>-2245.84</v>
      </c>
      <c r="H84">
        <v>-1028.3699999999999</v>
      </c>
      <c r="I84">
        <v>-2839.13</v>
      </c>
      <c r="J84">
        <v>-2753.9</v>
      </c>
      <c r="K84">
        <v>-1782.62</v>
      </c>
    </row>
    <row r="85" spans="1:11" s="1" customFormat="1" x14ac:dyDescent="0.3">
      <c r="A85" s="6" t="s">
        <v>30</v>
      </c>
      <c r="B85">
        <v>-3.65</v>
      </c>
      <c r="C85">
        <v>60.5</v>
      </c>
      <c r="D85">
        <v>-49.12</v>
      </c>
      <c r="E85">
        <v>16.54</v>
      </c>
      <c r="F85">
        <v>66.2</v>
      </c>
      <c r="G85">
        <v>-32.130000000000003</v>
      </c>
      <c r="H85">
        <v>-9.16</v>
      </c>
      <c r="I85">
        <v>219.29</v>
      </c>
      <c r="J85">
        <v>-194.21</v>
      </c>
      <c r="K85">
        <v>87.6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62</v>
      </c>
      <c r="B90">
        <v>1687</v>
      </c>
      <c r="C90">
        <v>2485.3000000000002</v>
      </c>
      <c r="D90">
        <v>3085.5</v>
      </c>
      <c r="E90">
        <v>2688.95</v>
      </c>
      <c r="F90">
        <v>3625.05</v>
      </c>
      <c r="G90">
        <v>3206.4</v>
      </c>
      <c r="H90">
        <v>4322.1499999999996</v>
      </c>
      <c r="I90">
        <v>4911.25</v>
      </c>
      <c r="J90">
        <v>4936.8999999999996</v>
      </c>
      <c r="K90">
        <v>5423</v>
      </c>
    </row>
    <row r="92" spans="1:11" s="1" customFormat="1" x14ac:dyDescent="0.3">
      <c r="A92" s="1" t="s">
        <v>61</v>
      </c>
    </row>
    <row r="93" spans="1:11" x14ac:dyDescent="0.3">
      <c r="A93" s="4" t="s">
        <v>74</v>
      </c>
      <c r="B93" s="17">
        <v>24</v>
      </c>
      <c r="C93" s="17">
        <v>24.01</v>
      </c>
      <c r="D93" s="17">
        <v>24.03</v>
      </c>
      <c r="E93" s="17">
        <v>24.05</v>
      </c>
      <c r="F93" s="17">
        <v>24.09</v>
      </c>
      <c r="G93" s="17">
        <v>24.09</v>
      </c>
      <c r="H93" s="17">
        <v>24.09</v>
      </c>
      <c r="I93" s="17">
        <v>24.09</v>
      </c>
      <c r="J93" s="17">
        <v>24.09</v>
      </c>
      <c r="K93" s="17">
        <v>24.09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Profit &amp; Loss</vt:lpstr>
      <vt:lpstr>Balance Sheet</vt:lpstr>
      <vt:lpstr>Cash Flow</vt:lpstr>
      <vt:lpstr>assumption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varun gowda</cp:lastModifiedBy>
  <cp:lastPrinted>2012-12-06T18:14:13Z</cp:lastPrinted>
  <dcterms:created xsi:type="dcterms:W3CDTF">2012-08-17T09:55:37Z</dcterms:created>
  <dcterms:modified xsi:type="dcterms:W3CDTF">2026-09-02T06:54:32Z</dcterms:modified>
</cp:coreProperties>
</file>